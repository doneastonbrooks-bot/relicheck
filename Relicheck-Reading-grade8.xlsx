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don/Documents/"/>
    </mc:Choice>
  </mc:AlternateContent>
  <xr:revisionPtr revIDLastSave="0" documentId="8_{448274B5-00D5-BB4D-86C4-9B1BF9772D23}" xr6:coauthVersionLast="47" xr6:coauthVersionMax="47" xr10:uidLastSave="{00000000-0000-0000-0000-000000000000}"/>
  <bookViews>
    <workbookView xWindow="600" yWindow="600" windowWidth="16380" windowHeight="8200" tabRatio="500" xr2:uid="{00000000-000D-0000-FFFF-FFFF00000000}"/>
  </bookViews>
  <sheets>
    <sheet name="Readin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6" i="1" l="1"/>
  <c r="H33" i="1"/>
  <c r="G33" i="1"/>
  <c r="F33" i="1"/>
  <c r="E33" i="1"/>
  <c r="D33" i="1"/>
  <c r="C33" i="1"/>
  <c r="J32" i="1"/>
  <c r="K32" i="1" s="1"/>
  <c r="I32" i="1"/>
  <c r="J31" i="1"/>
  <c r="K31" i="1" s="1"/>
  <c r="I31" i="1"/>
  <c r="J30" i="1"/>
  <c r="K30" i="1" s="1"/>
  <c r="I30" i="1"/>
  <c r="J29" i="1"/>
  <c r="K29" i="1" s="1"/>
  <c r="I29" i="1"/>
  <c r="J28" i="1"/>
  <c r="K28" i="1" s="1"/>
  <c r="I28" i="1"/>
  <c r="J27" i="1"/>
  <c r="K27" i="1" s="1"/>
  <c r="I27" i="1"/>
  <c r="J26" i="1"/>
  <c r="K26" i="1" s="1"/>
  <c r="I26" i="1"/>
  <c r="J25" i="1"/>
  <c r="K25" i="1" s="1"/>
  <c r="I25" i="1"/>
  <c r="J24" i="1"/>
  <c r="K24" i="1" s="1"/>
  <c r="I24" i="1"/>
  <c r="J23" i="1"/>
  <c r="K23" i="1" s="1"/>
  <c r="I23" i="1"/>
  <c r="J22" i="1"/>
  <c r="K22" i="1" s="1"/>
  <c r="I22" i="1"/>
  <c r="J21" i="1"/>
  <c r="K21" i="1" s="1"/>
  <c r="I21" i="1"/>
  <c r="J20" i="1"/>
  <c r="K20" i="1" s="1"/>
  <c r="I20" i="1"/>
  <c r="J19" i="1"/>
  <c r="K19" i="1" s="1"/>
  <c r="I19" i="1"/>
  <c r="J18" i="1"/>
  <c r="K18" i="1" s="1"/>
  <c r="I18" i="1"/>
  <c r="J17" i="1"/>
  <c r="K17" i="1" s="1"/>
  <c r="I17" i="1"/>
  <c r="J16" i="1"/>
  <c r="K16" i="1" s="1"/>
  <c r="I16" i="1"/>
  <c r="J15" i="1"/>
  <c r="K15" i="1" s="1"/>
  <c r="I15" i="1"/>
  <c r="J14" i="1"/>
  <c r="K14" i="1" s="1"/>
  <c r="I14" i="1"/>
  <c r="K13" i="1"/>
  <c r="J13" i="1"/>
  <c r="I13" i="1"/>
  <c r="J12" i="1"/>
  <c r="K12" i="1" s="1"/>
  <c r="I12" i="1"/>
  <c r="J11" i="1"/>
  <c r="K11" i="1" s="1"/>
  <c r="I11" i="1"/>
  <c r="J10" i="1"/>
  <c r="K10" i="1" s="1"/>
  <c r="I10" i="1"/>
  <c r="J9" i="1"/>
  <c r="K9" i="1" s="1"/>
  <c r="I9" i="1"/>
  <c r="J8" i="1"/>
  <c r="K8" i="1" s="1"/>
  <c r="I8" i="1"/>
  <c r="J7" i="1"/>
  <c r="K7" i="1" s="1"/>
  <c r="I7" i="1"/>
  <c r="J6" i="1"/>
  <c r="K6" i="1" s="1"/>
  <c r="I6" i="1"/>
  <c r="J5" i="1"/>
  <c r="K5" i="1" s="1"/>
  <c r="I5" i="1"/>
  <c r="J4" i="1"/>
  <c r="K4" i="1" s="1"/>
  <c r="I4" i="1"/>
  <c r="J3" i="1"/>
  <c r="K3" i="1" s="1"/>
  <c r="I3" i="1"/>
  <c r="B38" i="1" l="1"/>
  <c r="B37" i="1"/>
</calcChain>
</file>

<file path=xl/sharedStrings.xml><?xml version="1.0" encoding="utf-8"?>
<sst xmlns="http://schemas.openxmlformats.org/spreadsheetml/2006/main" count="77" uniqueCount="77">
  <si>
    <t>Reading Test  -  6 questions  -  easy</t>
  </si>
  <si>
    <t>Student ID</t>
  </si>
  <si>
    <t>Student Name</t>
  </si>
  <si>
    <t>Q1</t>
  </si>
  <si>
    <t>Q2</t>
  </si>
  <si>
    <t>Q3</t>
  </si>
  <si>
    <t>Q4</t>
  </si>
  <si>
    <t>Q5</t>
  </si>
  <si>
    <t>Q6</t>
  </si>
  <si>
    <t>Raw Score</t>
  </si>
  <si>
    <t>Percentage</t>
  </si>
  <si>
    <t>Letter Grade</t>
  </si>
  <si>
    <t>S01</t>
  </si>
  <si>
    <t>Alex Reyes</t>
  </si>
  <si>
    <t>S02</t>
  </si>
  <si>
    <t>Brianna Nguyen</t>
  </si>
  <si>
    <t>S03</t>
  </si>
  <si>
    <t>Carlos Patel</t>
  </si>
  <si>
    <t>S04</t>
  </si>
  <si>
    <t>Destiny Johnson</t>
  </si>
  <si>
    <t>S05</t>
  </si>
  <si>
    <t>Ethan Carter</t>
  </si>
  <si>
    <t>S06</t>
  </si>
  <si>
    <t>Fatima Khan</t>
  </si>
  <si>
    <t>S07</t>
  </si>
  <si>
    <t>Gavin Miller</t>
  </si>
  <si>
    <t>S08</t>
  </si>
  <si>
    <t>Hailey Singh</t>
  </si>
  <si>
    <t>S09</t>
  </si>
  <si>
    <t>Isaiah Lopez</t>
  </si>
  <si>
    <t>S10</t>
  </si>
  <si>
    <t>Jasmine Davis</t>
  </si>
  <si>
    <t>S11</t>
  </si>
  <si>
    <t>Kai Brooks</t>
  </si>
  <si>
    <t>S12</t>
  </si>
  <si>
    <t>Liam Hassan</t>
  </si>
  <si>
    <t>S13</t>
  </si>
  <si>
    <t>Maya Cohen</t>
  </si>
  <si>
    <t>S14</t>
  </si>
  <si>
    <t>Nico Park</t>
  </si>
  <si>
    <t>S15</t>
  </si>
  <si>
    <t>Olivia Foster</t>
  </si>
  <si>
    <t>S16</t>
  </si>
  <si>
    <t>Priya Mendez</t>
  </si>
  <si>
    <t>S17</t>
  </si>
  <si>
    <t>Quentin Wright</t>
  </si>
  <si>
    <t>S18</t>
  </si>
  <si>
    <t>Rosa Okafor</t>
  </si>
  <si>
    <t>S19</t>
  </si>
  <si>
    <t>Samir Tran</t>
  </si>
  <si>
    <t>S20</t>
  </si>
  <si>
    <t>Tasha Bell</t>
  </si>
  <si>
    <t>S21</t>
  </si>
  <si>
    <t>Uma Iverson</t>
  </si>
  <si>
    <t>S22</t>
  </si>
  <si>
    <t>Victor Romero</t>
  </si>
  <si>
    <t>S23</t>
  </si>
  <si>
    <t>Willow Hughes</t>
  </si>
  <si>
    <t>S24</t>
  </si>
  <si>
    <t>Xavier Adams</t>
  </si>
  <si>
    <t>S25</t>
  </si>
  <si>
    <t>Yara Tucker</t>
  </si>
  <si>
    <t>S26</t>
  </si>
  <si>
    <t>Zane Diaz</t>
  </si>
  <si>
    <t>S27</t>
  </si>
  <si>
    <t>Amir Walsh</t>
  </si>
  <si>
    <t>S28</t>
  </si>
  <si>
    <t>Bella Cruz</t>
  </si>
  <si>
    <t>S29</t>
  </si>
  <si>
    <t>Caleb Fischer</t>
  </si>
  <si>
    <t>S30</t>
  </si>
  <si>
    <t>Dakota Garcia</t>
  </si>
  <si>
    <t>Item p-value</t>
  </si>
  <si>
    <t>Class Summary</t>
  </si>
  <si>
    <t>Class average</t>
  </si>
  <si>
    <t>% Passing (&gt;=60)</t>
  </si>
  <si>
    <t>Letter grade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</si>
</sst>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Normal="100" workbookViewId="0">
      <pane xSplit="2" ySplit="2" topLeftCell="C7" activePane="bottomRight" state="frozen"/>
      <selection pane="topRight" activeCell="C1" sqref="C1"/>
      <selection pane="bottomLeft" activeCell="A3" sqref="A3"/>
      <selection pane="bottomRight" sqref="A1:K1"/>
    </sheetView>
  </sheetViews>
  <sheetFormatPr baseColWidth="10" defaultColWidth="8.6640625" defaultRowHeight="15" x14ac:dyDescent="0.2"/>
  <cols>
    <col min="1" max="1" width="11" customWidth="1"/>
    <col min="2" max="2" width="20" customWidth="1"/>
    <col min="3" max="8" width="5" customWidth="1"/>
    <col min="9" max="9" width="11" customWidth="1"/>
    <col min="10" max="10" width="12" customWidth="1"/>
    <col min="11" max="11" width="13" customWidth="1"/>
  </cols>
  <sheetData>
    <row r="1" spans="1:11" ht="18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x14ac:dyDescent="0.2">
      <c r="A3" s="4" t="s">
        <v>12</v>
      </c>
      <c r="B3" s="4" t="s">
        <v>13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f t="shared" ref="I3:I32" si="0">SUM(C3:H3)</f>
        <v>6</v>
      </c>
      <c r="J3" s="6">
        <f t="shared" ref="J3:J32" si="1">ROUND(SUM(C3:H3)/6*100,1)</f>
        <v>100</v>
      </c>
      <c r="K3" s="5" t="str">
        <f t="shared" ref="K3:K32" si="2">IF(J3&gt;=90,"A",IF(J3&gt;=80,"B",IF(J3&gt;=70,"C",IF(J3&gt;=60,"D","F"))))</f>
        <v>A</v>
      </c>
    </row>
    <row r="4" spans="1:11" x14ac:dyDescent="0.2">
      <c r="A4" s="4" t="s">
        <v>14</v>
      </c>
      <c r="B4" s="4" t="s">
        <v>15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0</v>
      </c>
      <c r="I4" s="5">
        <f t="shared" si="0"/>
        <v>5</v>
      </c>
      <c r="J4" s="6">
        <f t="shared" si="1"/>
        <v>83.3</v>
      </c>
      <c r="K4" s="5" t="str">
        <f t="shared" si="2"/>
        <v>B</v>
      </c>
    </row>
    <row r="5" spans="1:11" x14ac:dyDescent="0.2">
      <c r="A5" s="4" t="s">
        <v>16</v>
      </c>
      <c r="B5" s="4" t="s">
        <v>17</v>
      </c>
      <c r="C5" s="5">
        <v>1</v>
      </c>
      <c r="D5" s="5">
        <v>1</v>
      </c>
      <c r="E5" s="5">
        <v>1</v>
      </c>
      <c r="F5" s="5">
        <v>1</v>
      </c>
      <c r="G5" s="5">
        <v>0</v>
      </c>
      <c r="H5" s="5">
        <v>1</v>
      </c>
      <c r="I5" s="5">
        <f t="shared" si="0"/>
        <v>5</v>
      </c>
      <c r="J5" s="6">
        <f t="shared" si="1"/>
        <v>83.3</v>
      </c>
      <c r="K5" s="5" t="str">
        <f t="shared" si="2"/>
        <v>B</v>
      </c>
    </row>
    <row r="6" spans="1:11" x14ac:dyDescent="0.2">
      <c r="A6" s="4" t="s">
        <v>18</v>
      </c>
      <c r="B6" s="4" t="s">
        <v>19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f t="shared" si="0"/>
        <v>6</v>
      </c>
      <c r="J6" s="6">
        <f t="shared" si="1"/>
        <v>100</v>
      </c>
      <c r="K6" s="5" t="str">
        <f t="shared" si="2"/>
        <v>A</v>
      </c>
    </row>
    <row r="7" spans="1:11" x14ac:dyDescent="0.2">
      <c r="A7" s="4" t="s">
        <v>20</v>
      </c>
      <c r="B7" s="4" t="s">
        <v>21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0</v>
      </c>
      <c r="I7" s="5">
        <f t="shared" si="0"/>
        <v>5</v>
      </c>
      <c r="J7" s="6">
        <f t="shared" si="1"/>
        <v>83.3</v>
      </c>
      <c r="K7" s="5" t="str">
        <f t="shared" si="2"/>
        <v>B</v>
      </c>
    </row>
    <row r="8" spans="1:11" x14ac:dyDescent="0.2">
      <c r="A8" s="4" t="s">
        <v>22</v>
      </c>
      <c r="B8" s="4" t="s">
        <v>23</v>
      </c>
      <c r="C8" s="5">
        <v>1</v>
      </c>
      <c r="D8" s="5">
        <v>1</v>
      </c>
      <c r="E8" s="5">
        <v>0</v>
      </c>
      <c r="F8" s="5">
        <v>1</v>
      </c>
      <c r="G8" s="5">
        <v>1</v>
      </c>
      <c r="H8" s="5">
        <v>1</v>
      </c>
      <c r="I8" s="5">
        <f t="shared" si="0"/>
        <v>5</v>
      </c>
      <c r="J8" s="6">
        <f t="shared" si="1"/>
        <v>83.3</v>
      </c>
      <c r="K8" s="5" t="str">
        <f t="shared" si="2"/>
        <v>B</v>
      </c>
    </row>
    <row r="9" spans="1:11" x14ac:dyDescent="0.2">
      <c r="A9" s="4" t="s">
        <v>24</v>
      </c>
      <c r="B9" s="4" t="s">
        <v>25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0</v>
      </c>
      <c r="I9" s="5">
        <f t="shared" si="0"/>
        <v>5</v>
      </c>
      <c r="J9" s="6">
        <f t="shared" si="1"/>
        <v>83.3</v>
      </c>
      <c r="K9" s="5" t="str">
        <f t="shared" si="2"/>
        <v>B</v>
      </c>
    </row>
    <row r="10" spans="1:11" x14ac:dyDescent="0.2">
      <c r="A10" s="4" t="s">
        <v>26</v>
      </c>
      <c r="B10" s="4" t="s">
        <v>27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f t="shared" si="0"/>
        <v>6</v>
      </c>
      <c r="J10" s="6">
        <f t="shared" si="1"/>
        <v>100</v>
      </c>
      <c r="K10" s="5" t="str">
        <f t="shared" si="2"/>
        <v>A</v>
      </c>
    </row>
    <row r="11" spans="1:11" x14ac:dyDescent="0.2">
      <c r="A11" s="4" t="s">
        <v>28</v>
      </c>
      <c r="B11" s="4" t="s">
        <v>29</v>
      </c>
      <c r="C11" s="5">
        <v>1</v>
      </c>
      <c r="D11" s="5">
        <v>1</v>
      </c>
      <c r="E11" s="5">
        <v>1</v>
      </c>
      <c r="F11" s="5">
        <v>0</v>
      </c>
      <c r="G11" s="5">
        <v>1</v>
      </c>
      <c r="H11" s="5">
        <v>1</v>
      </c>
      <c r="I11" s="5">
        <f t="shared" si="0"/>
        <v>5</v>
      </c>
      <c r="J11" s="6">
        <f t="shared" si="1"/>
        <v>83.3</v>
      </c>
      <c r="K11" s="5" t="str">
        <f t="shared" si="2"/>
        <v>B</v>
      </c>
    </row>
    <row r="12" spans="1:11" x14ac:dyDescent="0.2">
      <c r="A12" s="4" t="s">
        <v>30</v>
      </c>
      <c r="B12" s="4" t="s">
        <v>31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f t="shared" si="0"/>
        <v>6</v>
      </c>
      <c r="J12" s="6">
        <f t="shared" si="1"/>
        <v>100</v>
      </c>
      <c r="K12" s="5" t="str">
        <f t="shared" si="2"/>
        <v>A</v>
      </c>
    </row>
    <row r="13" spans="1:11" x14ac:dyDescent="0.2">
      <c r="A13" s="4" t="s">
        <v>32</v>
      </c>
      <c r="B13" s="4" t="s">
        <v>33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0</v>
      </c>
      <c r="I13" s="5">
        <f t="shared" si="0"/>
        <v>5</v>
      </c>
      <c r="J13" s="6">
        <f t="shared" si="1"/>
        <v>83.3</v>
      </c>
      <c r="K13" s="5" t="str">
        <f t="shared" si="2"/>
        <v>B</v>
      </c>
    </row>
    <row r="14" spans="1:11" x14ac:dyDescent="0.2">
      <c r="A14" s="4" t="s">
        <v>34</v>
      </c>
      <c r="B14" s="4" t="s">
        <v>35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f t="shared" si="0"/>
        <v>6</v>
      </c>
      <c r="J14" s="6">
        <f t="shared" si="1"/>
        <v>100</v>
      </c>
      <c r="K14" s="5" t="str">
        <f t="shared" si="2"/>
        <v>A</v>
      </c>
    </row>
    <row r="15" spans="1:11" x14ac:dyDescent="0.2">
      <c r="A15" s="4" t="s">
        <v>36</v>
      </c>
      <c r="B15" s="4" t="s">
        <v>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f t="shared" si="0"/>
        <v>6</v>
      </c>
      <c r="J15" s="6">
        <f t="shared" si="1"/>
        <v>100</v>
      </c>
      <c r="K15" s="5" t="str">
        <f t="shared" si="2"/>
        <v>A</v>
      </c>
    </row>
    <row r="16" spans="1:11" x14ac:dyDescent="0.2">
      <c r="A16" s="4" t="s">
        <v>38</v>
      </c>
      <c r="B16" s="4" t="s">
        <v>39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0</v>
      </c>
      <c r="I16" s="5">
        <f t="shared" si="0"/>
        <v>5</v>
      </c>
      <c r="J16" s="6">
        <f t="shared" si="1"/>
        <v>83.3</v>
      </c>
      <c r="K16" s="5" t="str">
        <f t="shared" si="2"/>
        <v>B</v>
      </c>
    </row>
    <row r="17" spans="1:11" x14ac:dyDescent="0.2">
      <c r="A17" s="4" t="s">
        <v>40</v>
      </c>
      <c r="B17" s="4" t="s">
        <v>41</v>
      </c>
      <c r="C17" s="5">
        <v>1</v>
      </c>
      <c r="D17" s="5">
        <v>1</v>
      </c>
      <c r="E17" s="5">
        <v>1</v>
      </c>
      <c r="F17" s="5">
        <v>1</v>
      </c>
      <c r="G17" s="5">
        <v>0</v>
      </c>
      <c r="H17" s="5">
        <v>1</v>
      </c>
      <c r="I17" s="5">
        <f t="shared" si="0"/>
        <v>5</v>
      </c>
      <c r="J17" s="6">
        <f t="shared" si="1"/>
        <v>83.3</v>
      </c>
      <c r="K17" s="5" t="str">
        <f t="shared" si="2"/>
        <v>B</v>
      </c>
    </row>
    <row r="18" spans="1:11" x14ac:dyDescent="0.2">
      <c r="A18" s="4" t="s">
        <v>42</v>
      </c>
      <c r="B18" s="4" t="s">
        <v>43</v>
      </c>
      <c r="C18" s="5">
        <v>1</v>
      </c>
      <c r="D18" s="5">
        <v>0</v>
      </c>
      <c r="E18" s="5">
        <v>1</v>
      </c>
      <c r="F18" s="5">
        <v>1</v>
      </c>
      <c r="G18" s="5">
        <v>1</v>
      </c>
      <c r="H18" s="5">
        <v>1</v>
      </c>
      <c r="I18" s="5">
        <f t="shared" si="0"/>
        <v>5</v>
      </c>
      <c r="J18" s="6">
        <f t="shared" si="1"/>
        <v>83.3</v>
      </c>
      <c r="K18" s="5" t="str">
        <f t="shared" si="2"/>
        <v>B</v>
      </c>
    </row>
    <row r="19" spans="1:11" x14ac:dyDescent="0.2">
      <c r="A19" s="4" t="s">
        <v>44</v>
      </c>
      <c r="B19" s="4" t="s">
        <v>45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f t="shared" si="0"/>
        <v>6</v>
      </c>
      <c r="J19" s="6">
        <f t="shared" si="1"/>
        <v>100</v>
      </c>
      <c r="K19" s="5" t="str">
        <f t="shared" si="2"/>
        <v>A</v>
      </c>
    </row>
    <row r="20" spans="1:11" x14ac:dyDescent="0.2">
      <c r="A20" s="4" t="s">
        <v>46</v>
      </c>
      <c r="B20" s="4" t="s">
        <v>47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f t="shared" si="0"/>
        <v>6</v>
      </c>
      <c r="J20" s="6">
        <f t="shared" si="1"/>
        <v>100</v>
      </c>
      <c r="K20" s="5" t="str">
        <f t="shared" si="2"/>
        <v>A</v>
      </c>
    </row>
    <row r="21" spans="1:11" x14ac:dyDescent="0.2">
      <c r="A21" s="4" t="s">
        <v>48</v>
      </c>
      <c r="B21" s="4" t="s">
        <v>49</v>
      </c>
      <c r="C21" s="5">
        <v>1</v>
      </c>
      <c r="D21" s="5">
        <v>1</v>
      </c>
      <c r="E21" s="5">
        <v>1</v>
      </c>
      <c r="F21" s="5">
        <v>0</v>
      </c>
      <c r="G21" s="5">
        <v>1</v>
      </c>
      <c r="H21" s="5">
        <v>0</v>
      </c>
      <c r="I21" s="5">
        <f t="shared" si="0"/>
        <v>4</v>
      </c>
      <c r="J21" s="6">
        <f t="shared" si="1"/>
        <v>66.7</v>
      </c>
      <c r="K21" s="5" t="str">
        <f t="shared" si="2"/>
        <v>D</v>
      </c>
    </row>
    <row r="22" spans="1:11" x14ac:dyDescent="0.2">
      <c r="A22" s="4" t="s">
        <v>50</v>
      </c>
      <c r="B22" s="4" t="s">
        <v>51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f t="shared" si="0"/>
        <v>6</v>
      </c>
      <c r="J22" s="6">
        <f t="shared" si="1"/>
        <v>100</v>
      </c>
      <c r="K22" s="5" t="str">
        <f t="shared" si="2"/>
        <v>A</v>
      </c>
    </row>
    <row r="23" spans="1:11" x14ac:dyDescent="0.2">
      <c r="A23" s="4" t="s">
        <v>52</v>
      </c>
      <c r="B23" s="4" t="s">
        <v>53</v>
      </c>
      <c r="C23" s="5">
        <v>1</v>
      </c>
      <c r="D23" s="5">
        <v>1</v>
      </c>
      <c r="E23" s="5">
        <v>1</v>
      </c>
      <c r="F23" s="5">
        <v>1</v>
      </c>
      <c r="G23" s="5">
        <v>0</v>
      </c>
      <c r="H23" s="5">
        <v>1</v>
      </c>
      <c r="I23" s="5">
        <f t="shared" si="0"/>
        <v>5</v>
      </c>
      <c r="J23" s="6">
        <f t="shared" si="1"/>
        <v>83.3</v>
      </c>
      <c r="K23" s="5" t="str">
        <f t="shared" si="2"/>
        <v>B</v>
      </c>
    </row>
    <row r="24" spans="1:11" x14ac:dyDescent="0.2">
      <c r="A24" s="4" t="s">
        <v>54</v>
      </c>
      <c r="B24" s="4" t="s">
        <v>55</v>
      </c>
      <c r="C24" s="5">
        <v>1</v>
      </c>
      <c r="D24" s="5">
        <v>0</v>
      </c>
      <c r="E24" s="5">
        <v>1</v>
      </c>
      <c r="F24" s="5">
        <v>1</v>
      </c>
      <c r="G24" s="5">
        <v>1</v>
      </c>
      <c r="H24" s="5">
        <v>1</v>
      </c>
      <c r="I24" s="5">
        <f t="shared" si="0"/>
        <v>5</v>
      </c>
      <c r="J24" s="6">
        <f t="shared" si="1"/>
        <v>83.3</v>
      </c>
      <c r="K24" s="5" t="str">
        <f t="shared" si="2"/>
        <v>B</v>
      </c>
    </row>
    <row r="25" spans="1:11" x14ac:dyDescent="0.2">
      <c r="A25" s="4" t="s">
        <v>56</v>
      </c>
      <c r="B25" s="4" t="s">
        <v>57</v>
      </c>
      <c r="C25" s="5">
        <v>1</v>
      </c>
      <c r="D25" s="5">
        <v>1</v>
      </c>
      <c r="E25" s="5">
        <v>1</v>
      </c>
      <c r="F25" s="5">
        <v>1</v>
      </c>
      <c r="G25" s="5">
        <v>0</v>
      </c>
      <c r="H25" s="5">
        <v>1</v>
      </c>
      <c r="I25" s="5">
        <f t="shared" si="0"/>
        <v>5</v>
      </c>
      <c r="J25" s="6">
        <f t="shared" si="1"/>
        <v>83.3</v>
      </c>
      <c r="K25" s="5" t="str">
        <f t="shared" si="2"/>
        <v>B</v>
      </c>
    </row>
    <row r="26" spans="1:11" x14ac:dyDescent="0.2">
      <c r="A26" s="4" t="s">
        <v>58</v>
      </c>
      <c r="B26" s="4" t="s">
        <v>59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0</v>
      </c>
      <c r="I26" s="5">
        <f t="shared" si="0"/>
        <v>5</v>
      </c>
      <c r="J26" s="6">
        <f t="shared" si="1"/>
        <v>83.3</v>
      </c>
      <c r="K26" s="5" t="str">
        <f t="shared" si="2"/>
        <v>B</v>
      </c>
    </row>
    <row r="27" spans="1:11" x14ac:dyDescent="0.2">
      <c r="A27" s="4" t="s">
        <v>60</v>
      </c>
      <c r="B27" s="4" t="s">
        <v>61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f t="shared" si="0"/>
        <v>6</v>
      </c>
      <c r="J27" s="6">
        <f t="shared" si="1"/>
        <v>100</v>
      </c>
      <c r="K27" s="5" t="str">
        <f t="shared" si="2"/>
        <v>A</v>
      </c>
    </row>
    <row r="28" spans="1:11" x14ac:dyDescent="0.2">
      <c r="A28" s="4" t="s">
        <v>62</v>
      </c>
      <c r="B28" s="4" t="s">
        <v>63</v>
      </c>
      <c r="C28" s="5">
        <v>1</v>
      </c>
      <c r="D28" s="5">
        <v>1</v>
      </c>
      <c r="E28" s="5">
        <v>0</v>
      </c>
      <c r="F28" s="5">
        <v>1</v>
      </c>
      <c r="G28" s="5">
        <v>1</v>
      </c>
      <c r="H28" s="5">
        <v>0</v>
      </c>
      <c r="I28" s="5">
        <f t="shared" si="0"/>
        <v>4</v>
      </c>
      <c r="J28" s="6">
        <f t="shared" si="1"/>
        <v>66.7</v>
      </c>
      <c r="K28" s="5" t="str">
        <f t="shared" si="2"/>
        <v>D</v>
      </c>
    </row>
    <row r="29" spans="1:11" x14ac:dyDescent="0.2">
      <c r="A29" s="4" t="s">
        <v>64</v>
      </c>
      <c r="B29" s="4" t="s">
        <v>65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f t="shared" si="0"/>
        <v>6</v>
      </c>
      <c r="J29" s="6">
        <f t="shared" si="1"/>
        <v>100</v>
      </c>
      <c r="K29" s="5" t="str">
        <f t="shared" si="2"/>
        <v>A</v>
      </c>
    </row>
    <row r="30" spans="1:11" x14ac:dyDescent="0.2">
      <c r="A30" s="4" t="s">
        <v>66</v>
      </c>
      <c r="B30" s="4" t="s">
        <v>67</v>
      </c>
      <c r="C30" s="5">
        <v>0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f t="shared" si="0"/>
        <v>5</v>
      </c>
      <c r="J30" s="6">
        <f t="shared" si="1"/>
        <v>83.3</v>
      </c>
      <c r="K30" s="5" t="str">
        <f t="shared" si="2"/>
        <v>B</v>
      </c>
    </row>
    <row r="31" spans="1:11" x14ac:dyDescent="0.2">
      <c r="A31" s="4" t="s">
        <v>68</v>
      </c>
      <c r="B31" s="4" t="s">
        <v>69</v>
      </c>
      <c r="C31" s="5">
        <v>1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f t="shared" si="0"/>
        <v>6</v>
      </c>
      <c r="J31" s="6">
        <f t="shared" si="1"/>
        <v>100</v>
      </c>
      <c r="K31" s="5" t="str">
        <f t="shared" si="2"/>
        <v>A</v>
      </c>
    </row>
    <row r="32" spans="1:11" x14ac:dyDescent="0.2">
      <c r="A32" s="4" t="s">
        <v>70</v>
      </c>
      <c r="B32" s="4" t="s">
        <v>71</v>
      </c>
      <c r="C32" s="5">
        <v>1</v>
      </c>
      <c r="D32" s="5">
        <v>1</v>
      </c>
      <c r="E32" s="5">
        <v>1</v>
      </c>
      <c r="F32" s="5">
        <v>0</v>
      </c>
      <c r="G32" s="5">
        <v>1</v>
      </c>
      <c r="H32" s="5">
        <v>1</v>
      </c>
      <c r="I32" s="5">
        <f t="shared" si="0"/>
        <v>5</v>
      </c>
      <c r="J32" s="6">
        <f t="shared" si="1"/>
        <v>83.3</v>
      </c>
      <c r="K32" s="5" t="str">
        <f t="shared" si="2"/>
        <v>B</v>
      </c>
    </row>
    <row r="33" spans="1:8" x14ac:dyDescent="0.2">
      <c r="B33" s="7" t="s">
        <v>72</v>
      </c>
      <c r="C33" s="8">
        <f t="shared" ref="C33:H33" si="3">ROUND(AVERAGE(C3:C32),2)</f>
        <v>0.97</v>
      </c>
      <c r="D33" s="8">
        <f t="shared" si="3"/>
        <v>0.93</v>
      </c>
      <c r="E33" s="8">
        <f t="shared" si="3"/>
        <v>0.93</v>
      </c>
      <c r="F33" s="8">
        <f t="shared" si="3"/>
        <v>0.9</v>
      </c>
      <c r="G33" s="8">
        <f t="shared" si="3"/>
        <v>0.87</v>
      </c>
      <c r="H33" s="8">
        <f t="shared" si="3"/>
        <v>0.73</v>
      </c>
    </row>
    <row r="35" spans="1:8" ht="16" x14ac:dyDescent="0.2">
      <c r="A35" s="1" t="s">
        <v>73</v>
      </c>
      <c r="B35" s="1"/>
      <c r="C35" s="1"/>
      <c r="D35" s="1"/>
    </row>
    <row r="36" spans="1:8" x14ac:dyDescent="0.2">
      <c r="A36" s="9" t="s">
        <v>74</v>
      </c>
      <c r="B36" s="10">
        <f>AVERAGE(J3:J32)</f>
        <v>88.873333333333349</v>
      </c>
    </row>
    <row r="37" spans="1:8" x14ac:dyDescent="0.2">
      <c r="A37" s="9" t="s">
        <v>75</v>
      </c>
      <c r="B37" s="11">
        <f>COUNTIF(K3:K32,"&lt;&gt;F")/30</f>
        <v>1</v>
      </c>
    </row>
    <row r="38" spans="1:8" x14ac:dyDescent="0.2">
      <c r="A38" s="9" t="s">
        <v>76</v>
      </c>
      <c r="B38" s="12" t="str">
        <f>"A="&amp;COUNTIF(K3:K32,"A")&amp;", B="&amp;COUNTIF(K3:K32,"B")&amp;", C="&amp;COUNTIF(K3:K32,"C")&amp;", D="&amp;COUNTIF(K3:K32,"D")&amp;", F="&amp;COUNTIF(K3:K32,"F")</f>
        <v>A=12, B=16, C=0, D=2, F=0</v>
      </c>
    </row>
  </sheetData>
  <mergeCells count="2">
    <mergeCell ref="A1:K1"/>
    <mergeCell ref="A35:D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Donald Easton-Brooks</cp:lastModifiedBy>
  <cp:revision>0</cp:revision>
  <dcterms:created xsi:type="dcterms:W3CDTF">2026-05-25T04:39:43Z</dcterms:created>
  <dcterms:modified xsi:type="dcterms:W3CDTF">2026-05-25T04:43:13Z</dcterms:modified>
  <dc:language>en-US</dc:language>
</cp:coreProperties>
</file>