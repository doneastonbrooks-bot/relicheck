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don/Documents/"/>
    </mc:Choice>
  </mc:AlternateContent>
  <xr:revisionPtr revIDLastSave="0" documentId="8_{36584675-1201-FB49-ADAB-72740F5F3EF1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Math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3" i="1" l="1"/>
  <c r="K33" i="1"/>
  <c r="J33" i="1"/>
  <c r="I33" i="1"/>
  <c r="H33" i="1"/>
  <c r="G33" i="1"/>
  <c r="F33" i="1"/>
  <c r="E33" i="1"/>
  <c r="D33" i="1"/>
  <c r="C33" i="1"/>
  <c r="N32" i="1"/>
  <c r="O32" i="1" s="1"/>
  <c r="M32" i="1"/>
  <c r="N31" i="1"/>
  <c r="O31" i="1" s="1"/>
  <c r="M31" i="1"/>
  <c r="N30" i="1"/>
  <c r="O30" i="1" s="1"/>
  <c r="M30" i="1"/>
  <c r="N29" i="1"/>
  <c r="O29" i="1" s="1"/>
  <c r="M29" i="1"/>
  <c r="N28" i="1"/>
  <c r="O28" i="1" s="1"/>
  <c r="M28" i="1"/>
  <c r="N27" i="1"/>
  <c r="O27" i="1" s="1"/>
  <c r="M27" i="1"/>
  <c r="N26" i="1"/>
  <c r="O26" i="1" s="1"/>
  <c r="M26" i="1"/>
  <c r="N25" i="1"/>
  <c r="O25" i="1" s="1"/>
  <c r="M25" i="1"/>
  <c r="N24" i="1"/>
  <c r="O24" i="1" s="1"/>
  <c r="M24" i="1"/>
  <c r="N23" i="1"/>
  <c r="O23" i="1" s="1"/>
  <c r="M23" i="1"/>
  <c r="N22" i="1"/>
  <c r="O22" i="1" s="1"/>
  <c r="M22" i="1"/>
  <c r="N21" i="1"/>
  <c r="O21" i="1" s="1"/>
  <c r="M21" i="1"/>
  <c r="N20" i="1"/>
  <c r="O20" i="1" s="1"/>
  <c r="M20" i="1"/>
  <c r="N19" i="1"/>
  <c r="O19" i="1" s="1"/>
  <c r="M19" i="1"/>
  <c r="N18" i="1"/>
  <c r="O18" i="1" s="1"/>
  <c r="M18" i="1"/>
  <c r="N17" i="1"/>
  <c r="O17" i="1" s="1"/>
  <c r="M17" i="1"/>
  <c r="N16" i="1"/>
  <c r="O16" i="1" s="1"/>
  <c r="M16" i="1"/>
  <c r="N15" i="1"/>
  <c r="O15" i="1" s="1"/>
  <c r="M15" i="1"/>
  <c r="N14" i="1"/>
  <c r="O14" i="1" s="1"/>
  <c r="M14" i="1"/>
  <c r="N13" i="1"/>
  <c r="O13" i="1" s="1"/>
  <c r="M13" i="1"/>
  <c r="N12" i="1"/>
  <c r="O12" i="1" s="1"/>
  <c r="M12" i="1"/>
  <c r="N11" i="1"/>
  <c r="O11" i="1" s="1"/>
  <c r="M11" i="1"/>
  <c r="N10" i="1"/>
  <c r="O10" i="1" s="1"/>
  <c r="M10" i="1"/>
  <c r="N9" i="1"/>
  <c r="O9" i="1" s="1"/>
  <c r="M9" i="1"/>
  <c r="N8" i="1"/>
  <c r="O8" i="1" s="1"/>
  <c r="M8" i="1"/>
  <c r="N7" i="1"/>
  <c r="O7" i="1" s="1"/>
  <c r="M7" i="1"/>
  <c r="N6" i="1"/>
  <c r="O6" i="1" s="1"/>
  <c r="M6" i="1"/>
  <c r="N5" i="1"/>
  <c r="O5" i="1" s="1"/>
  <c r="M5" i="1"/>
  <c r="N4" i="1"/>
  <c r="O4" i="1" s="1"/>
  <c r="M4" i="1"/>
  <c r="N3" i="1"/>
  <c r="B36" i="1" s="1"/>
  <c r="M3" i="1"/>
  <c r="O3" i="1" l="1"/>
  <c r="B38" i="1" l="1"/>
  <c r="B37" i="1"/>
</calcChain>
</file>

<file path=xl/sharedStrings.xml><?xml version="1.0" encoding="utf-8"?>
<sst xmlns="http://schemas.openxmlformats.org/spreadsheetml/2006/main" count="81" uniqueCount="81">
  <si>
    <t>Math Test  -  10 questions  -  3 easy / 5 medium / 2 hard</t>
  </si>
  <si>
    <t>Student ID</t>
  </si>
  <si>
    <t>Student Name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</si>
  <si>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</si>
  <si>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</si>
  <si>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</si>
  <si>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</si>
  <si>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</si>
  <si>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</si>
  <si>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</si>
  <si>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</si>
  <si>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</si>
  <si>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</si>
  <si>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Raw Score</t>
  </si>
  <si>
    <t>Percentage</t>
  </si>
  <si>
    <t>Letter Grade</t>
  </si>
  <si>
    <t>S01</t>
  </si>
  <si>
    <t>Alex Reyes</t>
  </si>
  <si>
    <t>S02</t>
  </si>
  <si>
    <t>Brianna Nguyen</t>
  </si>
  <si>
    <t>S03</t>
  </si>
  <si>
    <t>Carlos Patel</t>
  </si>
  <si>
    <t>S04</t>
  </si>
  <si>
    <t>Destiny Johnson</t>
  </si>
  <si>
    <t>S05</t>
  </si>
  <si>
    <t>Ethan Carter</t>
  </si>
  <si>
    <t>S06</t>
  </si>
  <si>
    <t>Fatima Khan</t>
  </si>
  <si>
    <t>S07</t>
  </si>
  <si>
    <t>Gavin Miller</t>
  </si>
  <si>
    <t>S08</t>
  </si>
  <si>
    <t>Hailey Singh</t>
  </si>
  <si>
    <t>S09</t>
  </si>
  <si>
    <t>Isaiah Lopez</t>
  </si>
  <si>
    <t>S10</t>
  </si>
  <si>
    <t>Jasmine Davis</t>
  </si>
  <si>
    <t>S11</t>
  </si>
  <si>
    <t>Kai Brooks</t>
  </si>
  <si>
    <t>S12</t>
  </si>
  <si>
    <t>Liam Hassan</t>
  </si>
  <si>
    <t>S13</t>
  </si>
  <si>
    <t>Maya Cohen</t>
  </si>
  <si>
    <t>S14</t>
  </si>
  <si>
    <t>Nico Park</t>
  </si>
  <si>
    <t>S15</t>
  </si>
  <si>
    <t>Olivia Foster</t>
  </si>
  <si>
    <t>S16</t>
  </si>
  <si>
    <t>Priya Mendez</t>
  </si>
  <si>
    <t>S17</t>
  </si>
  <si>
    <t>Quentin Wright</t>
  </si>
  <si>
    <t>S18</t>
  </si>
  <si>
    <t>Rosa Okafor</t>
  </si>
  <si>
    <t>S19</t>
  </si>
  <si>
    <t>Samir Tran</t>
  </si>
  <si>
    <t>S20</t>
  </si>
  <si>
    <t>Tasha Bell</t>
  </si>
  <si>
    <t>S21</t>
  </si>
  <si>
    <t>Uma Iverson</t>
  </si>
  <si>
    <t>S22</t>
  </si>
  <si>
    <t>Victor Romero</t>
  </si>
  <si>
    <t>S23</t>
  </si>
  <si>
    <t>Willow Hughes</t>
  </si>
  <si>
    <t>S24</t>
  </si>
  <si>
    <t>Xavier Adams</t>
  </si>
  <si>
    <t>S25</t>
  </si>
  <si>
    <t>Yara Tucker</t>
  </si>
  <si>
    <t>S26</t>
  </si>
  <si>
    <t>Zane Diaz</t>
  </si>
  <si>
    <t>S27</t>
  </si>
  <si>
    <t>Amir Walsh</t>
  </si>
  <si>
    <t>S28</t>
  </si>
  <si>
    <t>Bella Cruz</t>
  </si>
  <si>
    <t>S29</t>
  </si>
  <si>
    <t>Caleb Fischer</t>
  </si>
  <si>
    <t>S30</t>
  </si>
  <si>
    <t>Dakota Garcia</t>
  </si>
  <si>
    <t>Item p-value</t>
  </si>
  <si>
    <t>Class Summary</t>
  </si>
  <si>
    <t>Class average</t>
  </si>
  <si>
    <t>% Passing (&gt;=60)</t>
  </si>
  <si>
    <t>Letter grade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</si>
</sst>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%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4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O1"/>
    </sheetView>
  </sheetViews>
  <sheetFormatPr baseColWidth="10" defaultColWidth="8.6640625" defaultRowHeight="15" x14ac:dyDescent="0.2"/>
  <cols>
    <col min="1" max="1" width="11" customWidth="1"/>
    <col min="2" max="2" width="20" customWidth="1"/>
    <col min="3" max="12" width="5" customWidth="1"/>
    <col min="13" max="13" width="11" customWidth="1"/>
    <col min="14" max="14" width="12" customWidth="1"/>
    <col min="15" max="15" width="13" customWidth="1"/>
  </cols>
  <sheetData>
    <row r="1" spans="1:15" ht="18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spans="1:15" x14ac:dyDescent="0.2">
      <c r="A3" s="4" t="s">
        <v>16</v>
      </c>
      <c r="B3" s="4" t="s">
        <v>17</v>
      </c>
      <c r="C3" s="5">
        <v>1</v>
      </c>
      <c r="D3" s="5">
        <v>1</v>
      </c>
      <c r="E3" s="5">
        <v>0</v>
      </c>
      <c r="F3" s="5">
        <v>1</v>
      </c>
      <c r="G3" s="5">
        <v>0</v>
      </c>
      <c r="H3" s="5">
        <v>1</v>
      </c>
      <c r="I3" s="5">
        <v>0</v>
      </c>
      <c r="J3" s="5">
        <v>1</v>
      </c>
      <c r="K3" s="5">
        <v>1</v>
      </c>
      <c r="L3" s="5">
        <v>1</v>
      </c>
      <c r="M3" s="5">
        <f t="shared" ref="M3:M32" si="0">SUM(C3:L3)</f>
        <v>7</v>
      </c>
      <c r="N3" s="6">
        <f t="shared" ref="N3:N32" si="1">ROUND(SUM(C3:L3)/10*100,1)</f>
        <v>70</v>
      </c>
      <c r="O3" s="5" t="str">
        <f t="shared" ref="O3:O32" si="2">IF(N3&gt;=90,"A",IF(N3&gt;=80,"B",IF(N3&gt;=70,"C",IF(N3&gt;=60,"D","F"))))</f>
        <v>C</v>
      </c>
    </row>
    <row r="4" spans="1:15" x14ac:dyDescent="0.2">
      <c r="A4" s="4" t="s">
        <v>18</v>
      </c>
      <c r="B4" s="4" t="s">
        <v>19</v>
      </c>
      <c r="C4" s="5">
        <v>1</v>
      </c>
      <c r="D4" s="5">
        <v>1</v>
      </c>
      <c r="E4" s="5">
        <v>0</v>
      </c>
      <c r="F4" s="5">
        <v>1</v>
      </c>
      <c r="G4" s="5">
        <v>1</v>
      </c>
      <c r="H4" s="5">
        <v>0</v>
      </c>
      <c r="I4" s="5">
        <v>1</v>
      </c>
      <c r="J4" s="5">
        <v>1</v>
      </c>
      <c r="K4" s="5">
        <v>1</v>
      </c>
      <c r="L4" s="5">
        <v>1</v>
      </c>
      <c r="M4" s="5">
        <f t="shared" si="0"/>
        <v>8</v>
      </c>
      <c r="N4" s="6">
        <f t="shared" si="1"/>
        <v>80</v>
      </c>
      <c r="O4" s="5" t="str">
        <f t="shared" si="2"/>
        <v>B</v>
      </c>
    </row>
    <row r="5" spans="1:15" x14ac:dyDescent="0.2">
      <c r="A5" s="4" t="s">
        <v>20</v>
      </c>
      <c r="B5" s="4" t="s">
        <v>21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0</v>
      </c>
      <c r="J5" s="5">
        <v>1</v>
      </c>
      <c r="K5" s="5">
        <v>1</v>
      </c>
      <c r="L5" s="5">
        <v>0</v>
      </c>
      <c r="M5" s="5">
        <f t="shared" si="0"/>
        <v>8</v>
      </c>
      <c r="N5" s="6">
        <f t="shared" si="1"/>
        <v>80</v>
      </c>
      <c r="O5" s="5" t="str">
        <f t="shared" si="2"/>
        <v>B</v>
      </c>
    </row>
    <row r="6" spans="1:15" x14ac:dyDescent="0.2">
      <c r="A6" s="4" t="s">
        <v>22</v>
      </c>
      <c r="B6" s="4" t="s">
        <v>23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0</v>
      </c>
      <c r="I6" s="5">
        <v>0</v>
      </c>
      <c r="J6" s="5">
        <v>0</v>
      </c>
      <c r="K6" s="5">
        <v>1</v>
      </c>
      <c r="L6" s="5">
        <v>0</v>
      </c>
      <c r="M6" s="5">
        <f t="shared" si="0"/>
        <v>6</v>
      </c>
      <c r="N6" s="6">
        <f t="shared" si="1"/>
        <v>60</v>
      </c>
      <c r="O6" s="5" t="str">
        <f t="shared" si="2"/>
        <v>D</v>
      </c>
    </row>
    <row r="7" spans="1:15" x14ac:dyDescent="0.2">
      <c r="A7" s="4" t="s">
        <v>24</v>
      </c>
      <c r="B7" s="4" t="s">
        <v>25</v>
      </c>
      <c r="C7" s="5">
        <v>1</v>
      </c>
      <c r="D7" s="5">
        <v>0</v>
      </c>
      <c r="E7" s="5">
        <v>1</v>
      </c>
      <c r="F7" s="5">
        <v>0</v>
      </c>
      <c r="G7" s="5">
        <v>1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f t="shared" si="0"/>
        <v>5</v>
      </c>
      <c r="N7" s="6">
        <f t="shared" si="1"/>
        <v>50</v>
      </c>
      <c r="O7" s="5" t="str">
        <f t="shared" si="2"/>
        <v>F</v>
      </c>
    </row>
    <row r="8" spans="1:15" x14ac:dyDescent="0.2">
      <c r="A8" s="4" t="s">
        <v>26</v>
      </c>
      <c r="B8" s="4" t="s">
        <v>27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0</v>
      </c>
      <c r="L8" s="5">
        <v>1</v>
      </c>
      <c r="M8" s="5">
        <f t="shared" si="0"/>
        <v>9</v>
      </c>
      <c r="N8" s="6">
        <f t="shared" si="1"/>
        <v>90</v>
      </c>
      <c r="O8" s="5" t="str">
        <f t="shared" si="2"/>
        <v>A</v>
      </c>
    </row>
    <row r="9" spans="1:15" x14ac:dyDescent="0.2">
      <c r="A9" s="4" t="s">
        <v>28</v>
      </c>
      <c r="B9" s="4" t="s">
        <v>29</v>
      </c>
      <c r="C9" s="5">
        <v>0</v>
      </c>
      <c r="D9" s="5">
        <v>1</v>
      </c>
      <c r="E9" s="5">
        <v>1</v>
      </c>
      <c r="F9" s="5">
        <v>0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f t="shared" si="0"/>
        <v>4</v>
      </c>
      <c r="N9" s="6">
        <f t="shared" si="1"/>
        <v>40</v>
      </c>
      <c r="O9" s="5" t="str">
        <f t="shared" si="2"/>
        <v>F</v>
      </c>
    </row>
    <row r="10" spans="1:15" x14ac:dyDescent="0.2">
      <c r="A10" s="4" t="s">
        <v>30</v>
      </c>
      <c r="B10" s="4" t="s">
        <v>31</v>
      </c>
      <c r="C10" s="5">
        <v>1</v>
      </c>
      <c r="D10" s="5">
        <v>1</v>
      </c>
      <c r="E10" s="5">
        <v>1</v>
      </c>
      <c r="F10" s="5">
        <v>1</v>
      </c>
      <c r="G10" s="5">
        <v>0</v>
      </c>
      <c r="H10" s="5">
        <v>1</v>
      </c>
      <c r="I10" s="5">
        <v>1</v>
      </c>
      <c r="J10" s="5">
        <v>1</v>
      </c>
      <c r="K10" s="5">
        <v>0</v>
      </c>
      <c r="L10" s="5">
        <v>0</v>
      </c>
      <c r="M10" s="5">
        <f t="shared" si="0"/>
        <v>7</v>
      </c>
      <c r="N10" s="6">
        <f t="shared" si="1"/>
        <v>70</v>
      </c>
      <c r="O10" s="5" t="str">
        <f t="shared" si="2"/>
        <v>C</v>
      </c>
    </row>
    <row r="11" spans="1:15" x14ac:dyDescent="0.2">
      <c r="A11" s="4" t="s">
        <v>32</v>
      </c>
      <c r="B11" s="4" t="s">
        <v>33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f t="shared" si="0"/>
        <v>10</v>
      </c>
      <c r="N11" s="6">
        <f t="shared" si="1"/>
        <v>100</v>
      </c>
      <c r="O11" s="5" t="str">
        <f t="shared" si="2"/>
        <v>A</v>
      </c>
    </row>
    <row r="12" spans="1:15" x14ac:dyDescent="0.2">
      <c r="A12" s="4" t="s">
        <v>34</v>
      </c>
      <c r="B12" s="4" t="s">
        <v>35</v>
      </c>
      <c r="C12" s="5">
        <v>1</v>
      </c>
      <c r="D12" s="5">
        <v>0</v>
      </c>
      <c r="E12" s="5">
        <v>1</v>
      </c>
      <c r="F12" s="5">
        <v>1</v>
      </c>
      <c r="G12" s="5">
        <v>1</v>
      </c>
      <c r="H12" s="5">
        <v>0</v>
      </c>
      <c r="I12" s="5">
        <v>1</v>
      </c>
      <c r="J12" s="5">
        <v>1</v>
      </c>
      <c r="K12" s="5">
        <v>1</v>
      </c>
      <c r="L12" s="5">
        <v>1</v>
      </c>
      <c r="M12" s="5">
        <f t="shared" si="0"/>
        <v>8</v>
      </c>
      <c r="N12" s="6">
        <f t="shared" si="1"/>
        <v>80</v>
      </c>
      <c r="O12" s="5" t="str">
        <f t="shared" si="2"/>
        <v>B</v>
      </c>
    </row>
    <row r="13" spans="1:15" x14ac:dyDescent="0.2">
      <c r="A13" s="4" t="s">
        <v>36</v>
      </c>
      <c r="B13" s="4" t="s">
        <v>37</v>
      </c>
      <c r="C13" s="5">
        <v>1</v>
      </c>
      <c r="D13" s="5">
        <v>1</v>
      </c>
      <c r="E13" s="5">
        <v>1</v>
      </c>
      <c r="F13" s="5">
        <v>1</v>
      </c>
      <c r="G13" s="5">
        <v>0</v>
      </c>
      <c r="H13" s="5">
        <v>0</v>
      </c>
      <c r="I13" s="5">
        <v>1</v>
      </c>
      <c r="J13" s="5">
        <v>1</v>
      </c>
      <c r="K13" s="5">
        <v>0</v>
      </c>
      <c r="L13" s="5">
        <v>0</v>
      </c>
      <c r="M13" s="5">
        <f t="shared" si="0"/>
        <v>6</v>
      </c>
      <c r="N13" s="6">
        <f t="shared" si="1"/>
        <v>60</v>
      </c>
      <c r="O13" s="5" t="str">
        <f t="shared" si="2"/>
        <v>D</v>
      </c>
    </row>
    <row r="14" spans="1:15" x14ac:dyDescent="0.2">
      <c r="A14" s="4" t="s">
        <v>38</v>
      </c>
      <c r="B14" s="4" t="s">
        <v>39</v>
      </c>
      <c r="C14" s="5">
        <v>1</v>
      </c>
      <c r="D14" s="5">
        <v>1</v>
      </c>
      <c r="E14" s="5">
        <v>0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0</v>
      </c>
      <c r="M14" s="5">
        <f t="shared" si="0"/>
        <v>8</v>
      </c>
      <c r="N14" s="6">
        <f t="shared" si="1"/>
        <v>80</v>
      </c>
      <c r="O14" s="5" t="str">
        <f t="shared" si="2"/>
        <v>B</v>
      </c>
    </row>
    <row r="15" spans="1:15" x14ac:dyDescent="0.2">
      <c r="A15" s="4" t="s">
        <v>40</v>
      </c>
      <c r="B15" s="4" t="s">
        <v>41</v>
      </c>
      <c r="C15" s="5">
        <v>1</v>
      </c>
      <c r="D15" s="5">
        <v>0</v>
      </c>
      <c r="E15" s="5">
        <v>1</v>
      </c>
      <c r="F15" s="5">
        <v>1</v>
      </c>
      <c r="G15" s="5">
        <v>0</v>
      </c>
      <c r="H15" s="5">
        <v>1</v>
      </c>
      <c r="I15" s="5">
        <v>0</v>
      </c>
      <c r="J15" s="5">
        <v>1</v>
      </c>
      <c r="K15" s="5">
        <v>1</v>
      </c>
      <c r="L15" s="5">
        <v>1</v>
      </c>
      <c r="M15" s="5">
        <f t="shared" si="0"/>
        <v>7</v>
      </c>
      <c r="N15" s="6">
        <f t="shared" si="1"/>
        <v>70</v>
      </c>
      <c r="O15" s="5" t="str">
        <f t="shared" si="2"/>
        <v>C</v>
      </c>
    </row>
    <row r="16" spans="1:15" x14ac:dyDescent="0.2">
      <c r="A16" s="4" t="s">
        <v>42</v>
      </c>
      <c r="B16" s="4" t="s">
        <v>43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1</v>
      </c>
      <c r="M16" s="5">
        <f t="shared" si="0"/>
        <v>7</v>
      </c>
      <c r="N16" s="6">
        <f t="shared" si="1"/>
        <v>70</v>
      </c>
      <c r="O16" s="5" t="str">
        <f t="shared" si="2"/>
        <v>C</v>
      </c>
    </row>
    <row r="17" spans="1:15" x14ac:dyDescent="0.2">
      <c r="A17" s="4" t="s">
        <v>44</v>
      </c>
      <c r="B17" s="4" t="s">
        <v>45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0</v>
      </c>
      <c r="I17" s="5">
        <v>1</v>
      </c>
      <c r="J17" s="5">
        <v>1</v>
      </c>
      <c r="K17" s="5">
        <v>1</v>
      </c>
      <c r="L17" s="5">
        <v>1</v>
      </c>
      <c r="M17" s="5">
        <f t="shared" si="0"/>
        <v>9</v>
      </c>
      <c r="N17" s="6">
        <f t="shared" si="1"/>
        <v>90</v>
      </c>
      <c r="O17" s="5" t="str">
        <f t="shared" si="2"/>
        <v>A</v>
      </c>
    </row>
    <row r="18" spans="1:15" x14ac:dyDescent="0.2">
      <c r="A18" s="4" t="s">
        <v>46</v>
      </c>
      <c r="B18" s="4" t="s">
        <v>47</v>
      </c>
      <c r="C18" s="5">
        <v>0</v>
      </c>
      <c r="D18" s="5">
        <v>1</v>
      </c>
      <c r="E18" s="5">
        <v>1</v>
      </c>
      <c r="F18" s="5">
        <v>1</v>
      </c>
      <c r="G18" s="5">
        <v>1</v>
      </c>
      <c r="H18" s="5">
        <v>0</v>
      </c>
      <c r="I18" s="5">
        <v>1</v>
      </c>
      <c r="J18" s="5">
        <v>1</v>
      </c>
      <c r="K18" s="5">
        <v>0</v>
      </c>
      <c r="L18" s="5">
        <v>1</v>
      </c>
      <c r="M18" s="5">
        <f t="shared" si="0"/>
        <v>7</v>
      </c>
      <c r="N18" s="6">
        <f t="shared" si="1"/>
        <v>70</v>
      </c>
      <c r="O18" s="5" t="str">
        <f t="shared" si="2"/>
        <v>C</v>
      </c>
    </row>
    <row r="19" spans="1:15" x14ac:dyDescent="0.2">
      <c r="A19" s="4" t="s">
        <v>48</v>
      </c>
      <c r="B19" s="4" t="s">
        <v>49</v>
      </c>
      <c r="C19" s="5">
        <v>1</v>
      </c>
      <c r="D19" s="5">
        <v>1</v>
      </c>
      <c r="E19" s="5">
        <v>1</v>
      </c>
      <c r="F19" s="5">
        <v>0</v>
      </c>
      <c r="G19" s="5">
        <v>0</v>
      </c>
      <c r="H19" s="5">
        <v>1</v>
      </c>
      <c r="I19" s="5">
        <v>1</v>
      </c>
      <c r="J19" s="5">
        <v>1</v>
      </c>
      <c r="K19" s="5">
        <v>1</v>
      </c>
      <c r="L19" s="5">
        <v>0</v>
      </c>
      <c r="M19" s="5">
        <f t="shared" si="0"/>
        <v>7</v>
      </c>
      <c r="N19" s="6">
        <f t="shared" si="1"/>
        <v>70</v>
      </c>
      <c r="O19" s="5" t="str">
        <f t="shared" si="2"/>
        <v>C</v>
      </c>
    </row>
    <row r="20" spans="1:15" x14ac:dyDescent="0.2">
      <c r="A20" s="4" t="s">
        <v>50</v>
      </c>
      <c r="B20" s="4" t="s">
        <v>51</v>
      </c>
      <c r="C20" s="5">
        <v>1</v>
      </c>
      <c r="D20" s="5">
        <v>1</v>
      </c>
      <c r="E20" s="5">
        <v>1</v>
      </c>
      <c r="F20" s="5">
        <v>0</v>
      </c>
      <c r="G20" s="5">
        <v>1</v>
      </c>
      <c r="H20" s="5">
        <v>1</v>
      </c>
      <c r="I20" s="5">
        <v>1</v>
      </c>
      <c r="J20" s="5">
        <v>0</v>
      </c>
      <c r="K20" s="5">
        <v>1</v>
      </c>
      <c r="L20" s="5">
        <v>1</v>
      </c>
      <c r="M20" s="5">
        <f t="shared" si="0"/>
        <v>8</v>
      </c>
      <c r="N20" s="6">
        <f t="shared" si="1"/>
        <v>80</v>
      </c>
      <c r="O20" s="5" t="str">
        <f t="shared" si="2"/>
        <v>B</v>
      </c>
    </row>
    <row r="21" spans="1:15" x14ac:dyDescent="0.2">
      <c r="A21" s="4" t="s">
        <v>52</v>
      </c>
      <c r="B21" s="4" t="s">
        <v>53</v>
      </c>
      <c r="C21" s="5">
        <v>1</v>
      </c>
      <c r="D21" s="5">
        <v>0</v>
      </c>
      <c r="E21" s="5">
        <v>0</v>
      </c>
      <c r="F21" s="5">
        <v>1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1</v>
      </c>
      <c r="M21" s="5">
        <f t="shared" si="0"/>
        <v>5</v>
      </c>
      <c r="N21" s="6">
        <f t="shared" si="1"/>
        <v>50</v>
      </c>
      <c r="O21" s="5" t="str">
        <f t="shared" si="2"/>
        <v>F</v>
      </c>
    </row>
    <row r="22" spans="1:15" x14ac:dyDescent="0.2">
      <c r="A22" s="4" t="s">
        <v>54</v>
      </c>
      <c r="B22" s="4" t="s">
        <v>55</v>
      </c>
      <c r="C22" s="5">
        <v>1</v>
      </c>
      <c r="D22" s="5">
        <v>1</v>
      </c>
      <c r="E22" s="5">
        <v>0</v>
      </c>
      <c r="F22" s="5">
        <v>1</v>
      </c>
      <c r="G22" s="5">
        <v>1</v>
      </c>
      <c r="H22" s="5">
        <v>0</v>
      </c>
      <c r="I22" s="5">
        <v>0</v>
      </c>
      <c r="J22" s="5">
        <v>0</v>
      </c>
      <c r="K22" s="5">
        <v>1</v>
      </c>
      <c r="L22" s="5">
        <v>0</v>
      </c>
      <c r="M22" s="5">
        <f t="shared" si="0"/>
        <v>5</v>
      </c>
      <c r="N22" s="6">
        <f t="shared" si="1"/>
        <v>50</v>
      </c>
      <c r="O22" s="5" t="str">
        <f t="shared" si="2"/>
        <v>F</v>
      </c>
    </row>
    <row r="23" spans="1:15" x14ac:dyDescent="0.2">
      <c r="A23" s="4" t="s">
        <v>56</v>
      </c>
      <c r="B23" s="4" t="s">
        <v>57</v>
      </c>
      <c r="C23" s="5">
        <v>0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0</v>
      </c>
      <c r="J23" s="5">
        <v>0</v>
      </c>
      <c r="K23" s="5">
        <v>1</v>
      </c>
      <c r="L23" s="5">
        <v>1</v>
      </c>
      <c r="M23" s="5">
        <f t="shared" si="0"/>
        <v>7</v>
      </c>
      <c r="N23" s="6">
        <f t="shared" si="1"/>
        <v>70</v>
      </c>
      <c r="O23" s="5" t="str">
        <f t="shared" si="2"/>
        <v>C</v>
      </c>
    </row>
    <row r="24" spans="1:15" x14ac:dyDescent="0.2">
      <c r="A24" s="4" t="s">
        <v>58</v>
      </c>
      <c r="B24" s="4" t="s">
        <v>59</v>
      </c>
      <c r="C24" s="5">
        <v>0</v>
      </c>
      <c r="D24" s="5">
        <v>1</v>
      </c>
      <c r="E24" s="5">
        <v>1</v>
      </c>
      <c r="F24" s="5">
        <v>0</v>
      </c>
      <c r="G24" s="5">
        <v>1</v>
      </c>
      <c r="H24" s="5">
        <v>1</v>
      </c>
      <c r="I24" s="5">
        <v>0</v>
      </c>
      <c r="J24" s="5">
        <v>1</v>
      </c>
      <c r="K24" s="5">
        <v>1</v>
      </c>
      <c r="L24" s="5">
        <v>1</v>
      </c>
      <c r="M24" s="5">
        <f t="shared" si="0"/>
        <v>7</v>
      </c>
      <c r="N24" s="6">
        <f t="shared" si="1"/>
        <v>70</v>
      </c>
      <c r="O24" s="5" t="str">
        <f t="shared" si="2"/>
        <v>C</v>
      </c>
    </row>
    <row r="25" spans="1:15" x14ac:dyDescent="0.2">
      <c r="A25" s="4" t="s">
        <v>60</v>
      </c>
      <c r="B25" s="4" t="s">
        <v>61</v>
      </c>
      <c r="C25" s="5">
        <v>0</v>
      </c>
      <c r="D25" s="5">
        <v>1</v>
      </c>
      <c r="E25" s="5">
        <v>0</v>
      </c>
      <c r="F25" s="5">
        <v>1</v>
      </c>
      <c r="G25" s="5">
        <v>1</v>
      </c>
      <c r="H25" s="5">
        <v>1</v>
      </c>
      <c r="I25" s="5">
        <v>1</v>
      </c>
      <c r="J25" s="5">
        <v>0</v>
      </c>
      <c r="K25" s="5">
        <v>1</v>
      </c>
      <c r="L25" s="5">
        <v>1</v>
      </c>
      <c r="M25" s="5">
        <f t="shared" si="0"/>
        <v>7</v>
      </c>
      <c r="N25" s="6">
        <f t="shared" si="1"/>
        <v>70</v>
      </c>
      <c r="O25" s="5" t="str">
        <f t="shared" si="2"/>
        <v>C</v>
      </c>
    </row>
    <row r="26" spans="1:15" x14ac:dyDescent="0.2">
      <c r="A26" s="4" t="s">
        <v>62</v>
      </c>
      <c r="B26" s="4" t="s">
        <v>63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f t="shared" si="0"/>
        <v>6</v>
      </c>
      <c r="N26" s="6">
        <f t="shared" si="1"/>
        <v>60</v>
      </c>
      <c r="O26" s="5" t="str">
        <f t="shared" si="2"/>
        <v>D</v>
      </c>
    </row>
    <row r="27" spans="1:15" x14ac:dyDescent="0.2">
      <c r="A27" s="4" t="s">
        <v>64</v>
      </c>
      <c r="B27" s="4" t="s">
        <v>65</v>
      </c>
      <c r="C27" s="5">
        <v>1</v>
      </c>
      <c r="D27" s="5">
        <v>0</v>
      </c>
      <c r="E27" s="5">
        <v>1</v>
      </c>
      <c r="F27" s="5">
        <v>1</v>
      </c>
      <c r="G27" s="5">
        <v>1</v>
      </c>
      <c r="H27" s="5">
        <v>1</v>
      </c>
      <c r="I27" s="5">
        <v>0</v>
      </c>
      <c r="J27" s="5">
        <v>0</v>
      </c>
      <c r="K27" s="5">
        <v>1</v>
      </c>
      <c r="L27" s="5">
        <v>0</v>
      </c>
      <c r="M27" s="5">
        <f t="shared" si="0"/>
        <v>6</v>
      </c>
      <c r="N27" s="6">
        <f t="shared" si="1"/>
        <v>60</v>
      </c>
      <c r="O27" s="5" t="str">
        <f t="shared" si="2"/>
        <v>D</v>
      </c>
    </row>
    <row r="28" spans="1:15" x14ac:dyDescent="0.2">
      <c r="A28" s="4" t="s">
        <v>66</v>
      </c>
      <c r="B28" s="4" t="s">
        <v>67</v>
      </c>
      <c r="C28" s="5">
        <v>1</v>
      </c>
      <c r="D28" s="5">
        <v>1</v>
      </c>
      <c r="E28" s="5">
        <v>1</v>
      </c>
      <c r="F28" s="5">
        <v>0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1</v>
      </c>
      <c r="M28" s="5">
        <f t="shared" si="0"/>
        <v>6</v>
      </c>
      <c r="N28" s="6">
        <f t="shared" si="1"/>
        <v>60</v>
      </c>
      <c r="O28" s="5" t="str">
        <f t="shared" si="2"/>
        <v>D</v>
      </c>
    </row>
    <row r="29" spans="1:15" x14ac:dyDescent="0.2">
      <c r="A29" s="4" t="s">
        <v>68</v>
      </c>
      <c r="B29" s="4" t="s">
        <v>69</v>
      </c>
      <c r="C29" s="5">
        <v>1</v>
      </c>
      <c r="D29" s="5">
        <v>1</v>
      </c>
      <c r="E29" s="5">
        <v>1</v>
      </c>
      <c r="F29" s="5">
        <v>1</v>
      </c>
      <c r="G29" s="5">
        <v>1</v>
      </c>
      <c r="H29" s="5">
        <v>0</v>
      </c>
      <c r="I29" s="5">
        <v>1</v>
      </c>
      <c r="J29" s="5">
        <v>1</v>
      </c>
      <c r="K29" s="5">
        <v>0</v>
      </c>
      <c r="L29" s="5">
        <v>0</v>
      </c>
      <c r="M29" s="5">
        <f t="shared" si="0"/>
        <v>7</v>
      </c>
      <c r="N29" s="6">
        <f t="shared" si="1"/>
        <v>70</v>
      </c>
      <c r="O29" s="5" t="str">
        <f t="shared" si="2"/>
        <v>C</v>
      </c>
    </row>
    <row r="30" spans="1:15" x14ac:dyDescent="0.2">
      <c r="A30" s="4" t="s">
        <v>70</v>
      </c>
      <c r="B30" s="4" t="s">
        <v>71</v>
      </c>
      <c r="C30" s="5">
        <v>0</v>
      </c>
      <c r="D30" s="5">
        <v>0</v>
      </c>
      <c r="E30" s="5">
        <v>1</v>
      </c>
      <c r="F30" s="5">
        <v>1</v>
      </c>
      <c r="G30" s="5">
        <v>0</v>
      </c>
      <c r="H30" s="5">
        <v>1</v>
      </c>
      <c r="I30" s="5">
        <v>0</v>
      </c>
      <c r="J30" s="5">
        <v>0</v>
      </c>
      <c r="K30" s="5">
        <v>0</v>
      </c>
      <c r="L30" s="5">
        <v>1</v>
      </c>
      <c r="M30" s="5">
        <f t="shared" si="0"/>
        <v>4</v>
      </c>
      <c r="N30" s="6">
        <f t="shared" si="1"/>
        <v>40</v>
      </c>
      <c r="O30" s="5" t="str">
        <f t="shared" si="2"/>
        <v>F</v>
      </c>
    </row>
    <row r="31" spans="1:15" x14ac:dyDescent="0.2">
      <c r="A31" s="4" t="s">
        <v>72</v>
      </c>
      <c r="B31" s="4" t="s">
        <v>73</v>
      </c>
      <c r="C31" s="5">
        <v>1</v>
      </c>
      <c r="D31" s="5">
        <v>1</v>
      </c>
      <c r="E31" s="5">
        <v>1</v>
      </c>
      <c r="F31" s="5">
        <v>0</v>
      </c>
      <c r="G31" s="5">
        <v>1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f t="shared" si="0"/>
        <v>5</v>
      </c>
      <c r="N31" s="6">
        <f t="shared" si="1"/>
        <v>50</v>
      </c>
      <c r="O31" s="5" t="str">
        <f t="shared" si="2"/>
        <v>F</v>
      </c>
    </row>
    <row r="32" spans="1:15" x14ac:dyDescent="0.2">
      <c r="A32" s="4" t="s">
        <v>74</v>
      </c>
      <c r="B32" s="4" t="s">
        <v>75</v>
      </c>
      <c r="C32" s="5">
        <v>1</v>
      </c>
      <c r="D32" s="5">
        <v>1</v>
      </c>
      <c r="E32" s="5">
        <v>1</v>
      </c>
      <c r="F32" s="5">
        <v>0</v>
      </c>
      <c r="G32" s="5">
        <v>0</v>
      </c>
      <c r="H32" s="5">
        <v>0</v>
      </c>
      <c r="I32" s="5">
        <v>1</v>
      </c>
      <c r="J32" s="5">
        <v>1</v>
      </c>
      <c r="K32" s="5">
        <v>1</v>
      </c>
      <c r="L32" s="5">
        <v>0</v>
      </c>
      <c r="M32" s="5">
        <f t="shared" si="0"/>
        <v>6</v>
      </c>
      <c r="N32" s="6">
        <f t="shared" si="1"/>
        <v>60</v>
      </c>
      <c r="O32" s="5" t="str">
        <f t="shared" si="2"/>
        <v>D</v>
      </c>
    </row>
    <row r="33" spans="1:12" x14ac:dyDescent="0.2">
      <c r="B33" s="7" t="s">
        <v>76</v>
      </c>
      <c r="C33" s="8">
        <f t="shared" ref="C33:L33" si="3">ROUND(AVERAGE(C3:C32),2)</f>
        <v>0.8</v>
      </c>
      <c r="D33" s="8">
        <f t="shared" si="3"/>
        <v>0.8</v>
      </c>
      <c r="E33" s="8">
        <f t="shared" si="3"/>
        <v>0.8</v>
      </c>
      <c r="F33" s="8">
        <f t="shared" si="3"/>
        <v>0.73</v>
      </c>
      <c r="G33" s="8">
        <f t="shared" si="3"/>
        <v>0.7</v>
      </c>
      <c r="H33" s="8">
        <f t="shared" si="3"/>
        <v>0.63</v>
      </c>
      <c r="I33" s="8">
        <f t="shared" si="3"/>
        <v>0.6</v>
      </c>
      <c r="J33" s="8">
        <f t="shared" si="3"/>
        <v>0.56999999999999995</v>
      </c>
      <c r="K33" s="8">
        <f t="shared" si="3"/>
        <v>0.56999999999999995</v>
      </c>
      <c r="L33" s="8">
        <f t="shared" si="3"/>
        <v>0.53</v>
      </c>
    </row>
    <row r="35" spans="1:12" ht="16" x14ac:dyDescent="0.2">
      <c r="A35" s="1" t="s">
        <v>77</v>
      </c>
      <c r="B35" s="1"/>
      <c r="C35" s="1"/>
      <c r="D35" s="1"/>
    </row>
    <row r="36" spans="1:12" x14ac:dyDescent="0.2">
      <c r="A36" s="9" t="s">
        <v>78</v>
      </c>
      <c r="B36" s="10">
        <f>AVERAGE(N3:N32)</f>
        <v>67.333333333333329</v>
      </c>
    </row>
    <row r="37" spans="1:12" x14ac:dyDescent="0.2">
      <c r="A37" s="9" t="s">
        <v>79</v>
      </c>
      <c r="B37" s="11">
        <f>COUNTIF(O3:O32,"&lt;&gt;F")/30</f>
        <v>0.8</v>
      </c>
    </row>
    <row r="38" spans="1:12" x14ac:dyDescent="0.2">
      <c r="A38" s="9" t="s">
        <v>80</v>
      </c>
      <c r="B38" s="12" t="str">
        <f>"A="&amp;COUNTIF(O3:O32,"A")&amp;", B="&amp;COUNTIF(O3:O32,"B")&amp;", C="&amp;COUNTIF(O3:O32,"C")&amp;", D="&amp;COUNTIF(O3:O32,"D")&amp;", F="&amp;COUNTIF(O3:O32,"F")</f>
        <v>A=3, B=5, C=10, D=6, F=6</v>
      </c>
    </row>
  </sheetData>
  <mergeCells count="2">
    <mergeCell ref="A1:O1"/>
    <mergeCell ref="A35:D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Donald Easton-Brooks</cp:lastModifiedBy>
  <cp:revision>0</cp:revision>
  <dcterms:created xsi:type="dcterms:W3CDTF">2026-05-25T04:39:43Z</dcterms:created>
  <dcterms:modified xsi:type="dcterms:W3CDTF">2026-05-25T04:42:52Z</dcterms:modified>
  <dc:language>en-US</dc:language>
</cp:coreProperties>
</file>