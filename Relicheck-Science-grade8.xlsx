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don/Documents/"/>
    </mc:Choice>
  </mc:AlternateContent>
  <xr:revisionPtr revIDLastSave="0" documentId="8_{74DD02EB-1C11-AE47-96C5-A40867C81417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cie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3" i="1" l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Y32" i="1"/>
  <c r="X32" i="1"/>
  <c r="W32" i="1"/>
  <c r="X31" i="1"/>
  <c r="Y31" i="1" s="1"/>
  <c r="W31" i="1"/>
  <c r="X30" i="1"/>
  <c r="Y30" i="1" s="1"/>
  <c r="W30" i="1"/>
  <c r="X29" i="1"/>
  <c r="Y29" i="1" s="1"/>
  <c r="W29" i="1"/>
  <c r="Y28" i="1"/>
  <c r="X28" i="1"/>
  <c r="W28" i="1"/>
  <c r="X27" i="1"/>
  <c r="Y27" i="1" s="1"/>
  <c r="W27" i="1"/>
  <c r="X26" i="1"/>
  <c r="Y26" i="1" s="1"/>
  <c r="W26" i="1"/>
  <c r="X25" i="1"/>
  <c r="Y25" i="1" s="1"/>
  <c r="W25" i="1"/>
  <c r="Y24" i="1"/>
  <c r="X24" i="1"/>
  <c r="W24" i="1"/>
  <c r="X23" i="1"/>
  <c r="Y23" i="1" s="1"/>
  <c r="W23" i="1"/>
  <c r="X22" i="1"/>
  <c r="Y22" i="1" s="1"/>
  <c r="W22" i="1"/>
  <c r="X21" i="1"/>
  <c r="Y21" i="1" s="1"/>
  <c r="W21" i="1"/>
  <c r="Y20" i="1"/>
  <c r="X20" i="1"/>
  <c r="W20" i="1"/>
  <c r="X19" i="1"/>
  <c r="Y19" i="1" s="1"/>
  <c r="W19" i="1"/>
  <c r="X18" i="1"/>
  <c r="Y18" i="1" s="1"/>
  <c r="W18" i="1"/>
  <c r="X17" i="1"/>
  <c r="Y17" i="1" s="1"/>
  <c r="W17" i="1"/>
  <c r="Y16" i="1"/>
  <c r="X16" i="1"/>
  <c r="W16" i="1"/>
  <c r="X15" i="1"/>
  <c r="Y15" i="1" s="1"/>
  <c r="W15" i="1"/>
  <c r="X14" i="1"/>
  <c r="Y14" i="1" s="1"/>
  <c r="W14" i="1"/>
  <c r="Y13" i="1"/>
  <c r="X13" i="1"/>
  <c r="W13" i="1"/>
  <c r="Y12" i="1"/>
  <c r="X12" i="1"/>
  <c r="W12" i="1"/>
  <c r="X11" i="1"/>
  <c r="Y11" i="1" s="1"/>
  <c r="W11" i="1"/>
  <c r="X10" i="1"/>
  <c r="Y10" i="1" s="1"/>
  <c r="W10" i="1"/>
  <c r="X9" i="1"/>
  <c r="Y9" i="1" s="1"/>
  <c r="W9" i="1"/>
  <c r="Y8" i="1"/>
  <c r="X8" i="1"/>
  <c r="W8" i="1"/>
  <c r="X7" i="1"/>
  <c r="Y7" i="1" s="1"/>
  <c r="W7" i="1"/>
  <c r="X6" i="1"/>
  <c r="Y6" i="1" s="1"/>
  <c r="W6" i="1"/>
  <c r="X5" i="1"/>
  <c r="Y5" i="1" s="1"/>
  <c r="W5" i="1"/>
  <c r="Y4" i="1"/>
  <c r="X4" i="1"/>
  <c r="W4" i="1"/>
  <c r="X3" i="1"/>
  <c r="B36" i="1" s="1"/>
  <c r="W3" i="1"/>
  <c r="Y3" i="1" l="1"/>
  <c r="B38" i="1" l="1"/>
  <c r="B37" i="1"/>
</calcChain>
</file>

<file path=xl/sharedStrings.xml><?xml version="1.0" encoding="utf-8"?>
<sst xmlns="http://schemas.openxmlformats.org/spreadsheetml/2006/main" count="91" uniqueCount="91">
  <si>
    <t>Science Test  -  20 questions  -  hard</t>
  </si>
  <si>
    <t>Student ID</t>
  </si>
  <si>
    <t>Student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</si>
  <si>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</si>
  <si>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</si>
  <si>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</si>
  <si>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</si>
  <si>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</si>
  <si>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</si>
  <si>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</si>
  <si>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</si>
  <si>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</si>
  <si>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</si>
  <si>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</si>
  <si>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</si>
  <si>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</si>
  <si>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</si>
  <si>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</si>
  <si>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</si>
  <si>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</si>
  <si>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</si>
  <si>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</si>
  <si>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</si>
  <si>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Raw Score</t>
  </si>
  <si>
    <t>Percentage</t>
  </si>
  <si>
    <t>Letter Grade</t>
  </si>
  <si>
    <t>S01</t>
  </si>
  <si>
    <t>Alex Reyes</t>
  </si>
  <si>
    <t>S02</t>
  </si>
  <si>
    <t>Brianna Nguyen</t>
  </si>
  <si>
    <t>S03</t>
  </si>
  <si>
    <t>Carlos Patel</t>
  </si>
  <si>
    <t>S04</t>
  </si>
  <si>
    <t>Destiny Johnson</t>
  </si>
  <si>
    <t>S05</t>
  </si>
  <si>
    <t>Ethan Carter</t>
  </si>
  <si>
    <t>S06</t>
  </si>
  <si>
    <t>Fatima Khan</t>
  </si>
  <si>
    <t>S07</t>
  </si>
  <si>
    <t>Gavin Miller</t>
  </si>
  <si>
    <t>S08</t>
  </si>
  <si>
    <t>Hailey Singh</t>
  </si>
  <si>
    <t>S09</t>
  </si>
  <si>
    <t>Isaiah Lopez</t>
  </si>
  <si>
    <t>S10</t>
  </si>
  <si>
    <t>Jasmine Davis</t>
  </si>
  <si>
    <t>S11</t>
  </si>
  <si>
    <t>Kai Brooks</t>
  </si>
  <si>
    <t>S12</t>
  </si>
  <si>
    <t>Liam Hassan</t>
  </si>
  <si>
    <t>S13</t>
  </si>
  <si>
    <t>Maya Cohen</t>
  </si>
  <si>
    <t>S14</t>
  </si>
  <si>
    <t>Nico Park</t>
  </si>
  <si>
    <t>S15</t>
  </si>
  <si>
    <t>Olivia Foster</t>
  </si>
  <si>
    <t>S16</t>
  </si>
  <si>
    <t>Priya Mendez</t>
  </si>
  <si>
    <t>S17</t>
  </si>
  <si>
    <t>Quentin Wright</t>
  </si>
  <si>
    <t>S18</t>
  </si>
  <si>
    <t>Rosa Okafor</t>
  </si>
  <si>
    <t>S19</t>
  </si>
  <si>
    <t>Samir Tran</t>
  </si>
  <si>
    <t>S20</t>
  </si>
  <si>
    <t>Tasha Bell</t>
  </si>
  <si>
    <t>S21</t>
  </si>
  <si>
    <t>Uma Iverson</t>
  </si>
  <si>
    <t>S22</t>
  </si>
  <si>
    <t>Victor Romero</t>
  </si>
  <si>
    <t>S23</t>
  </si>
  <si>
    <t>Willow Hughes</t>
  </si>
  <si>
    <t>S24</t>
  </si>
  <si>
    <t>Xavier Adams</t>
  </si>
  <si>
    <t>S25</t>
  </si>
  <si>
    <t>Yara Tucker</t>
  </si>
  <si>
    <t>S26</t>
  </si>
  <si>
    <t>Zane Diaz</t>
  </si>
  <si>
    <t>S27</t>
  </si>
  <si>
    <t>Amir Walsh</t>
  </si>
  <si>
    <t>S28</t>
  </si>
  <si>
    <t>Bella Cruz</t>
  </si>
  <si>
    <t>S29</t>
  </si>
  <si>
    <t>Caleb Fischer</t>
  </si>
  <si>
    <t>S30</t>
  </si>
  <si>
    <t>Dakota Garcia</t>
  </si>
  <si>
    <t>Item p-value</t>
  </si>
  <si>
    <t>Class Summary</t>
  </si>
  <si>
    <t>Class average</t>
  </si>
  <si>
    <t>% Passing (&gt;=60)</t>
  </si>
  <si>
    <t>Letter grade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</si>
</sst>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Y1"/>
    </sheetView>
  </sheetViews>
  <sheetFormatPr baseColWidth="10" defaultColWidth="8.6640625" defaultRowHeight="15" x14ac:dyDescent="0.2"/>
  <cols>
    <col min="1" max="1" width="11" customWidth="1"/>
    <col min="2" max="2" width="20" customWidth="1"/>
    <col min="3" max="22" width="5" customWidth="1"/>
    <col min="23" max="23" width="11" customWidth="1"/>
    <col min="24" max="24" width="12" customWidth="1"/>
    <col min="25" max="25" width="13" customWidth="1"/>
  </cols>
  <sheetData>
    <row r="1" spans="1:25" ht="1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 x14ac:dyDescent="0.2">
      <c r="A3" s="4" t="s">
        <v>26</v>
      </c>
      <c r="B3" s="4" t="s">
        <v>27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1</v>
      </c>
      <c r="W3" s="5">
        <f t="shared" ref="W3:W32" si="0">SUM(C3:V3)</f>
        <v>13</v>
      </c>
      <c r="X3" s="6">
        <f t="shared" ref="X3:X32" si="1">ROUND(SUM(C3:V3)/20*100,1)</f>
        <v>65</v>
      </c>
      <c r="Y3" s="5" t="str">
        <f t="shared" ref="Y3:Y32" si="2">IF(X3&gt;=90,"A",IF(X3&gt;=80,"B",IF(X3&gt;=70,"C",IF(X3&gt;=60,"D","F"))))</f>
        <v>D</v>
      </c>
    </row>
    <row r="4" spans="1:25" x14ac:dyDescent="0.2">
      <c r="A4" s="4" t="s">
        <v>28</v>
      </c>
      <c r="B4" s="4" t="s">
        <v>29</v>
      </c>
      <c r="C4" s="5">
        <v>1</v>
      </c>
      <c r="D4" s="5">
        <v>1</v>
      </c>
      <c r="E4" s="5">
        <v>1</v>
      </c>
      <c r="F4" s="5">
        <v>1</v>
      </c>
      <c r="G4" s="5">
        <v>0</v>
      </c>
      <c r="H4" s="5">
        <v>1</v>
      </c>
      <c r="I4" s="5">
        <v>0</v>
      </c>
      <c r="J4" s="5">
        <v>1</v>
      </c>
      <c r="K4" s="5">
        <v>1</v>
      </c>
      <c r="L4" s="5">
        <v>0</v>
      </c>
      <c r="M4" s="5">
        <v>1</v>
      </c>
      <c r="N4" s="5">
        <v>0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0</v>
      </c>
      <c r="V4" s="5">
        <v>1</v>
      </c>
      <c r="W4" s="5">
        <f t="shared" si="0"/>
        <v>15</v>
      </c>
      <c r="X4" s="6">
        <f t="shared" si="1"/>
        <v>75</v>
      </c>
      <c r="Y4" s="5" t="str">
        <f t="shared" si="2"/>
        <v>C</v>
      </c>
    </row>
    <row r="5" spans="1:25" x14ac:dyDescent="0.2">
      <c r="A5" s="4" t="s">
        <v>30</v>
      </c>
      <c r="B5" s="4" t="s">
        <v>31</v>
      </c>
      <c r="C5" s="5">
        <v>1</v>
      </c>
      <c r="D5" s="5">
        <v>1</v>
      </c>
      <c r="E5" s="5">
        <v>0</v>
      </c>
      <c r="F5" s="5">
        <v>1</v>
      </c>
      <c r="G5" s="5">
        <v>0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1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f t="shared" si="0"/>
        <v>10</v>
      </c>
      <c r="X5" s="6">
        <f t="shared" si="1"/>
        <v>50</v>
      </c>
      <c r="Y5" s="5" t="str">
        <f t="shared" si="2"/>
        <v>F</v>
      </c>
    </row>
    <row r="6" spans="1:25" x14ac:dyDescent="0.2">
      <c r="A6" s="4" t="s">
        <v>32</v>
      </c>
      <c r="B6" s="4" t="s">
        <v>33</v>
      </c>
      <c r="C6" s="5">
        <v>1</v>
      </c>
      <c r="D6" s="5">
        <v>1</v>
      </c>
      <c r="E6" s="5">
        <v>0</v>
      </c>
      <c r="F6" s="5">
        <v>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0</v>
      </c>
      <c r="M6" s="5">
        <v>1</v>
      </c>
      <c r="N6" s="5">
        <v>1</v>
      </c>
      <c r="O6" s="5">
        <v>0</v>
      </c>
      <c r="P6" s="5">
        <v>1</v>
      </c>
      <c r="Q6" s="5">
        <v>0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f t="shared" si="0"/>
        <v>10</v>
      </c>
      <c r="X6" s="6">
        <f t="shared" si="1"/>
        <v>50</v>
      </c>
      <c r="Y6" s="5" t="str">
        <f t="shared" si="2"/>
        <v>F</v>
      </c>
    </row>
    <row r="7" spans="1:25" x14ac:dyDescent="0.2">
      <c r="A7" s="4" t="s">
        <v>34</v>
      </c>
      <c r="B7" s="4" t="s">
        <v>35</v>
      </c>
      <c r="C7" s="5">
        <v>1</v>
      </c>
      <c r="D7" s="5">
        <v>0</v>
      </c>
      <c r="E7" s="5">
        <v>1</v>
      </c>
      <c r="F7" s="5">
        <v>0</v>
      </c>
      <c r="G7" s="5">
        <v>1</v>
      </c>
      <c r="H7" s="5">
        <v>1</v>
      </c>
      <c r="I7" s="5">
        <v>0</v>
      </c>
      <c r="J7" s="5">
        <v>0</v>
      </c>
      <c r="K7" s="5">
        <v>1</v>
      </c>
      <c r="L7" s="5">
        <v>1</v>
      </c>
      <c r="M7" s="5">
        <v>0</v>
      </c>
      <c r="N7" s="5">
        <v>1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f t="shared" si="0"/>
        <v>11</v>
      </c>
      <c r="X7" s="6">
        <f t="shared" si="1"/>
        <v>55</v>
      </c>
      <c r="Y7" s="5" t="str">
        <f t="shared" si="2"/>
        <v>F</v>
      </c>
    </row>
    <row r="8" spans="1:25" x14ac:dyDescent="0.2">
      <c r="A8" s="4" t="s">
        <v>36</v>
      </c>
      <c r="B8" s="4" t="s">
        <v>37</v>
      </c>
      <c r="C8" s="5">
        <v>0</v>
      </c>
      <c r="D8" s="5">
        <v>0</v>
      </c>
      <c r="E8" s="5">
        <v>0</v>
      </c>
      <c r="F8" s="5">
        <v>0</v>
      </c>
      <c r="G8" s="5">
        <v>1</v>
      </c>
      <c r="H8" s="5">
        <v>0</v>
      </c>
      <c r="I8" s="5">
        <v>1</v>
      </c>
      <c r="J8" s="5">
        <v>1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f t="shared" si="0"/>
        <v>8</v>
      </c>
      <c r="X8" s="6">
        <f t="shared" si="1"/>
        <v>40</v>
      </c>
      <c r="Y8" s="5" t="str">
        <f t="shared" si="2"/>
        <v>F</v>
      </c>
    </row>
    <row r="9" spans="1:25" x14ac:dyDescent="0.2">
      <c r="A9" s="4" t="s">
        <v>38</v>
      </c>
      <c r="B9" s="4" t="s">
        <v>39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0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0</v>
      </c>
      <c r="O9" s="5">
        <v>1</v>
      </c>
      <c r="P9" s="5">
        <v>1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f t="shared" si="0"/>
        <v>15</v>
      </c>
      <c r="X9" s="6">
        <f t="shared" si="1"/>
        <v>75</v>
      </c>
      <c r="Y9" s="5" t="str">
        <f t="shared" si="2"/>
        <v>C</v>
      </c>
    </row>
    <row r="10" spans="1:25" x14ac:dyDescent="0.2">
      <c r="A10" s="4" t="s">
        <v>40</v>
      </c>
      <c r="B10" s="4" t="s">
        <v>41</v>
      </c>
      <c r="C10" s="5">
        <v>1</v>
      </c>
      <c r="D10" s="5">
        <v>1</v>
      </c>
      <c r="E10" s="5">
        <v>1</v>
      </c>
      <c r="F10" s="5">
        <v>0</v>
      </c>
      <c r="G10" s="5">
        <v>1</v>
      </c>
      <c r="H10" s="5">
        <v>1</v>
      </c>
      <c r="I10" s="5">
        <v>1</v>
      </c>
      <c r="J10" s="5">
        <v>1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f t="shared" si="0"/>
        <v>12</v>
      </c>
      <c r="X10" s="6">
        <f t="shared" si="1"/>
        <v>60</v>
      </c>
      <c r="Y10" s="5" t="str">
        <f t="shared" si="2"/>
        <v>D</v>
      </c>
    </row>
    <row r="11" spans="1:25" x14ac:dyDescent="0.2">
      <c r="A11" s="4" t="s">
        <v>42</v>
      </c>
      <c r="B11" s="4" t="s">
        <v>43</v>
      </c>
      <c r="C11" s="5">
        <v>1</v>
      </c>
      <c r="D11" s="5">
        <v>0</v>
      </c>
      <c r="E11" s="5">
        <v>0</v>
      </c>
      <c r="F11" s="5">
        <v>1</v>
      </c>
      <c r="G11" s="5">
        <v>1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1</v>
      </c>
      <c r="O11" s="5">
        <v>1</v>
      </c>
      <c r="P11" s="5">
        <v>1</v>
      </c>
      <c r="Q11" s="5">
        <v>0</v>
      </c>
      <c r="R11" s="5">
        <v>1</v>
      </c>
      <c r="S11" s="5">
        <v>0</v>
      </c>
      <c r="T11" s="5">
        <v>1</v>
      </c>
      <c r="U11" s="5">
        <v>0</v>
      </c>
      <c r="V11" s="5">
        <v>0</v>
      </c>
      <c r="W11" s="5">
        <f t="shared" si="0"/>
        <v>10</v>
      </c>
      <c r="X11" s="6">
        <f t="shared" si="1"/>
        <v>50</v>
      </c>
      <c r="Y11" s="5" t="str">
        <f t="shared" si="2"/>
        <v>F</v>
      </c>
    </row>
    <row r="12" spans="1:25" x14ac:dyDescent="0.2">
      <c r="A12" s="4" t="s">
        <v>44</v>
      </c>
      <c r="B12" s="4" t="s">
        <v>45</v>
      </c>
      <c r="C12" s="5">
        <v>1</v>
      </c>
      <c r="D12" s="5">
        <v>1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f t="shared" si="0"/>
        <v>9</v>
      </c>
      <c r="X12" s="6">
        <f t="shared" si="1"/>
        <v>45</v>
      </c>
      <c r="Y12" s="5" t="str">
        <f t="shared" si="2"/>
        <v>F</v>
      </c>
    </row>
    <row r="13" spans="1:25" x14ac:dyDescent="0.2">
      <c r="A13" s="4" t="s">
        <v>46</v>
      </c>
      <c r="B13" s="4" t="s">
        <v>47</v>
      </c>
      <c r="C13" s="5">
        <v>0</v>
      </c>
      <c r="D13" s="5">
        <v>0</v>
      </c>
      <c r="E13" s="5">
        <v>1</v>
      </c>
      <c r="F13" s="5">
        <v>1</v>
      </c>
      <c r="G13" s="5">
        <v>0</v>
      </c>
      <c r="H13" s="5">
        <v>1</v>
      </c>
      <c r="I13" s="5">
        <v>0</v>
      </c>
      <c r="J13" s="5">
        <v>1</v>
      </c>
      <c r="K13" s="5">
        <v>1</v>
      </c>
      <c r="L13" s="5">
        <v>1</v>
      </c>
      <c r="M13" s="5">
        <v>0</v>
      </c>
      <c r="N13" s="5">
        <v>0</v>
      </c>
      <c r="O13" s="5">
        <v>1</v>
      </c>
      <c r="P13" s="5">
        <v>0</v>
      </c>
      <c r="Q13" s="5">
        <v>1</v>
      </c>
      <c r="R13" s="5">
        <v>0</v>
      </c>
      <c r="S13" s="5">
        <v>1</v>
      </c>
      <c r="T13" s="5">
        <v>1</v>
      </c>
      <c r="U13" s="5">
        <v>0</v>
      </c>
      <c r="V13" s="5">
        <v>1</v>
      </c>
      <c r="W13" s="5">
        <f t="shared" si="0"/>
        <v>11</v>
      </c>
      <c r="X13" s="6">
        <f t="shared" si="1"/>
        <v>55</v>
      </c>
      <c r="Y13" s="5" t="str">
        <f t="shared" si="2"/>
        <v>F</v>
      </c>
    </row>
    <row r="14" spans="1:25" x14ac:dyDescent="0.2">
      <c r="A14" s="4" t="s">
        <v>48</v>
      </c>
      <c r="B14" s="4" t="s">
        <v>49</v>
      </c>
      <c r="C14" s="5">
        <v>0</v>
      </c>
      <c r="D14" s="5">
        <v>1</v>
      </c>
      <c r="E14" s="5">
        <v>1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</v>
      </c>
      <c r="V14" s="5">
        <v>0</v>
      </c>
      <c r="W14" s="5">
        <f t="shared" si="0"/>
        <v>11</v>
      </c>
      <c r="X14" s="6">
        <f t="shared" si="1"/>
        <v>55</v>
      </c>
      <c r="Y14" s="5" t="str">
        <f t="shared" si="2"/>
        <v>F</v>
      </c>
    </row>
    <row r="15" spans="1:25" x14ac:dyDescent="0.2">
      <c r="A15" s="4" t="s">
        <v>50</v>
      </c>
      <c r="B15" s="4" t="s">
        <v>51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0</v>
      </c>
      <c r="J15" s="5">
        <v>0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f t="shared" si="0"/>
        <v>13</v>
      </c>
      <c r="X15" s="6">
        <f t="shared" si="1"/>
        <v>65</v>
      </c>
      <c r="Y15" s="5" t="str">
        <f t="shared" si="2"/>
        <v>D</v>
      </c>
    </row>
    <row r="16" spans="1:25" x14ac:dyDescent="0.2">
      <c r="A16" s="4" t="s">
        <v>52</v>
      </c>
      <c r="B16" s="4" t="s">
        <v>53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0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f t="shared" si="0"/>
        <v>14</v>
      </c>
      <c r="X16" s="6">
        <f t="shared" si="1"/>
        <v>70</v>
      </c>
      <c r="Y16" s="5" t="str">
        <f t="shared" si="2"/>
        <v>C</v>
      </c>
    </row>
    <row r="17" spans="1:25" x14ac:dyDescent="0.2">
      <c r="A17" s="4" t="s">
        <v>54</v>
      </c>
      <c r="B17" s="4" t="s">
        <v>55</v>
      </c>
      <c r="C17" s="5">
        <v>1</v>
      </c>
      <c r="D17" s="5">
        <v>1</v>
      </c>
      <c r="E17" s="5">
        <v>1</v>
      </c>
      <c r="F17" s="5">
        <v>1</v>
      </c>
      <c r="G17" s="5">
        <v>0</v>
      </c>
      <c r="H17" s="5">
        <v>0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f t="shared" si="0"/>
        <v>8</v>
      </c>
      <c r="X17" s="6">
        <f t="shared" si="1"/>
        <v>40</v>
      </c>
      <c r="Y17" s="5" t="str">
        <f t="shared" si="2"/>
        <v>F</v>
      </c>
    </row>
    <row r="18" spans="1:25" x14ac:dyDescent="0.2">
      <c r="A18" s="4" t="s">
        <v>56</v>
      </c>
      <c r="B18" s="4" t="s">
        <v>57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0</v>
      </c>
      <c r="T18" s="5">
        <v>1</v>
      </c>
      <c r="U18" s="5">
        <v>1</v>
      </c>
      <c r="V18" s="5">
        <v>0</v>
      </c>
      <c r="W18" s="5">
        <f t="shared" si="0"/>
        <v>11</v>
      </c>
      <c r="X18" s="6">
        <f t="shared" si="1"/>
        <v>55</v>
      </c>
      <c r="Y18" s="5" t="str">
        <f t="shared" si="2"/>
        <v>F</v>
      </c>
    </row>
    <row r="19" spans="1:25" x14ac:dyDescent="0.2">
      <c r="A19" s="4" t="s">
        <v>58</v>
      </c>
      <c r="B19" s="4" t="s">
        <v>59</v>
      </c>
      <c r="C19" s="5">
        <v>1</v>
      </c>
      <c r="D19" s="5">
        <v>0</v>
      </c>
      <c r="E19" s="5">
        <v>1</v>
      </c>
      <c r="F19" s="5">
        <v>1</v>
      </c>
      <c r="G19" s="5">
        <v>0</v>
      </c>
      <c r="H19" s="5">
        <v>1</v>
      </c>
      <c r="I19" s="5">
        <v>1</v>
      </c>
      <c r="J19" s="5">
        <v>0</v>
      </c>
      <c r="K19" s="5">
        <v>1</v>
      </c>
      <c r="L19" s="5">
        <v>1</v>
      </c>
      <c r="M19" s="5">
        <v>0</v>
      </c>
      <c r="N19" s="5">
        <v>1</v>
      </c>
      <c r="O19" s="5">
        <v>1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f t="shared" si="0"/>
        <v>10</v>
      </c>
      <c r="X19" s="6">
        <f t="shared" si="1"/>
        <v>50</v>
      </c>
      <c r="Y19" s="5" t="str">
        <f t="shared" si="2"/>
        <v>F</v>
      </c>
    </row>
    <row r="20" spans="1:25" x14ac:dyDescent="0.2">
      <c r="A20" s="4" t="s">
        <v>60</v>
      </c>
      <c r="B20" s="4" t="s">
        <v>61</v>
      </c>
      <c r="C20" s="5">
        <v>1</v>
      </c>
      <c r="D20" s="5">
        <v>1</v>
      </c>
      <c r="E20" s="5">
        <v>0</v>
      </c>
      <c r="F20" s="5">
        <v>1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1</v>
      </c>
      <c r="N20" s="5">
        <v>1</v>
      </c>
      <c r="O20" s="5">
        <v>0</v>
      </c>
      <c r="P20" s="5">
        <v>1</v>
      </c>
      <c r="Q20" s="5">
        <v>1</v>
      </c>
      <c r="R20" s="5">
        <v>1</v>
      </c>
      <c r="S20" s="5">
        <v>1</v>
      </c>
      <c r="T20" s="5">
        <v>0</v>
      </c>
      <c r="U20" s="5">
        <v>1</v>
      </c>
      <c r="V20" s="5">
        <v>0</v>
      </c>
      <c r="W20" s="5">
        <f t="shared" si="0"/>
        <v>13</v>
      </c>
      <c r="X20" s="6">
        <f t="shared" si="1"/>
        <v>65</v>
      </c>
      <c r="Y20" s="5" t="str">
        <f t="shared" si="2"/>
        <v>D</v>
      </c>
    </row>
    <row r="21" spans="1:25" x14ac:dyDescent="0.2">
      <c r="A21" s="4" t="s">
        <v>62</v>
      </c>
      <c r="B21" s="4" t="s">
        <v>63</v>
      </c>
      <c r="C21" s="5">
        <v>1</v>
      </c>
      <c r="D21" s="5">
        <v>1</v>
      </c>
      <c r="E21" s="5">
        <v>1</v>
      </c>
      <c r="F21" s="5">
        <v>1</v>
      </c>
      <c r="G21" s="5">
        <v>0</v>
      </c>
      <c r="H21" s="5">
        <v>0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0</v>
      </c>
      <c r="O21" s="5">
        <v>0</v>
      </c>
      <c r="P21" s="5">
        <v>1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1</v>
      </c>
      <c r="W21" s="5">
        <f t="shared" si="0"/>
        <v>12</v>
      </c>
      <c r="X21" s="6">
        <f t="shared" si="1"/>
        <v>60</v>
      </c>
      <c r="Y21" s="5" t="str">
        <f t="shared" si="2"/>
        <v>D</v>
      </c>
    </row>
    <row r="22" spans="1:25" x14ac:dyDescent="0.2">
      <c r="A22" s="4" t="s">
        <v>64</v>
      </c>
      <c r="B22" s="4" t="s">
        <v>65</v>
      </c>
      <c r="C22" s="5">
        <v>1</v>
      </c>
      <c r="D22" s="5">
        <v>1</v>
      </c>
      <c r="E22" s="5">
        <v>1</v>
      </c>
      <c r="F22" s="5">
        <v>0</v>
      </c>
      <c r="G22" s="5">
        <v>1</v>
      </c>
      <c r="H22" s="5">
        <v>1</v>
      </c>
      <c r="I22" s="5">
        <v>0</v>
      </c>
      <c r="J22" s="5">
        <v>1</v>
      </c>
      <c r="K22" s="5">
        <v>1</v>
      </c>
      <c r="L22" s="5">
        <v>1</v>
      </c>
      <c r="M22" s="5">
        <v>1</v>
      </c>
      <c r="N22" s="5">
        <v>0</v>
      </c>
      <c r="O22" s="5">
        <v>1</v>
      </c>
      <c r="P22" s="5">
        <v>1</v>
      </c>
      <c r="Q22" s="5">
        <v>1</v>
      </c>
      <c r="R22" s="5">
        <v>1</v>
      </c>
      <c r="S22" s="5">
        <v>0</v>
      </c>
      <c r="T22" s="5">
        <v>1</v>
      </c>
      <c r="U22" s="5">
        <v>1</v>
      </c>
      <c r="V22" s="5">
        <v>1</v>
      </c>
      <c r="W22" s="5">
        <f t="shared" si="0"/>
        <v>16</v>
      </c>
      <c r="X22" s="6">
        <f t="shared" si="1"/>
        <v>80</v>
      </c>
      <c r="Y22" s="5" t="str">
        <f t="shared" si="2"/>
        <v>B</v>
      </c>
    </row>
    <row r="23" spans="1:25" x14ac:dyDescent="0.2">
      <c r="A23" s="4" t="s">
        <v>66</v>
      </c>
      <c r="B23" s="4" t="s">
        <v>67</v>
      </c>
      <c r="C23" s="5">
        <v>1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1</v>
      </c>
      <c r="V23" s="5">
        <v>0</v>
      </c>
      <c r="W23" s="5">
        <f t="shared" si="0"/>
        <v>9</v>
      </c>
      <c r="X23" s="6">
        <f t="shared" si="1"/>
        <v>45</v>
      </c>
      <c r="Y23" s="5" t="str">
        <f t="shared" si="2"/>
        <v>F</v>
      </c>
    </row>
    <row r="24" spans="1:25" x14ac:dyDescent="0.2">
      <c r="A24" s="4" t="s">
        <v>68</v>
      </c>
      <c r="B24" s="4" t="s">
        <v>69</v>
      </c>
      <c r="C24" s="5">
        <v>1</v>
      </c>
      <c r="D24" s="5">
        <v>0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5">
        <v>0</v>
      </c>
      <c r="P24" s="5">
        <v>1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1</v>
      </c>
      <c r="W24" s="5">
        <f t="shared" si="0"/>
        <v>11</v>
      </c>
      <c r="X24" s="6">
        <f t="shared" si="1"/>
        <v>55</v>
      </c>
      <c r="Y24" s="5" t="str">
        <f t="shared" si="2"/>
        <v>F</v>
      </c>
    </row>
    <row r="25" spans="1:25" x14ac:dyDescent="0.2">
      <c r="A25" s="4" t="s">
        <v>70</v>
      </c>
      <c r="B25" s="4" t="s">
        <v>71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f t="shared" si="0"/>
        <v>19</v>
      </c>
      <c r="X25" s="6">
        <f t="shared" si="1"/>
        <v>95</v>
      </c>
      <c r="Y25" s="5" t="str">
        <f t="shared" si="2"/>
        <v>A</v>
      </c>
    </row>
    <row r="26" spans="1:25" x14ac:dyDescent="0.2">
      <c r="A26" s="4" t="s">
        <v>72</v>
      </c>
      <c r="B26" s="4" t="s">
        <v>73</v>
      </c>
      <c r="C26" s="5">
        <v>0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0</v>
      </c>
      <c r="M26" s="5">
        <v>1</v>
      </c>
      <c r="N26" s="5">
        <v>1</v>
      </c>
      <c r="O26" s="5">
        <v>0</v>
      </c>
      <c r="P26" s="5">
        <v>0</v>
      </c>
      <c r="Q26" s="5">
        <v>1</v>
      </c>
      <c r="R26" s="5">
        <v>0</v>
      </c>
      <c r="S26" s="5">
        <v>1</v>
      </c>
      <c r="T26" s="5">
        <v>0</v>
      </c>
      <c r="U26" s="5">
        <v>1</v>
      </c>
      <c r="V26" s="5">
        <v>1</v>
      </c>
      <c r="W26" s="5">
        <f t="shared" si="0"/>
        <v>13</v>
      </c>
      <c r="X26" s="6">
        <f t="shared" si="1"/>
        <v>65</v>
      </c>
      <c r="Y26" s="5" t="str">
        <f t="shared" si="2"/>
        <v>D</v>
      </c>
    </row>
    <row r="27" spans="1:25" x14ac:dyDescent="0.2">
      <c r="A27" s="4" t="s">
        <v>74</v>
      </c>
      <c r="B27" s="4" t="s">
        <v>75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1</v>
      </c>
      <c r="M27" s="5">
        <v>1</v>
      </c>
      <c r="N27" s="5">
        <v>1</v>
      </c>
      <c r="O27" s="5">
        <v>1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0</v>
      </c>
      <c r="W27" s="5">
        <f t="shared" si="0"/>
        <v>12</v>
      </c>
      <c r="X27" s="6">
        <f t="shared" si="1"/>
        <v>60</v>
      </c>
      <c r="Y27" s="5" t="str">
        <f t="shared" si="2"/>
        <v>D</v>
      </c>
    </row>
    <row r="28" spans="1:25" x14ac:dyDescent="0.2">
      <c r="A28" s="4" t="s">
        <v>76</v>
      </c>
      <c r="B28" s="4" t="s">
        <v>77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0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0</v>
      </c>
      <c r="W28" s="5">
        <f t="shared" si="0"/>
        <v>14</v>
      </c>
      <c r="X28" s="6">
        <f t="shared" si="1"/>
        <v>70</v>
      </c>
      <c r="Y28" s="5" t="str">
        <f t="shared" si="2"/>
        <v>C</v>
      </c>
    </row>
    <row r="29" spans="1:25" x14ac:dyDescent="0.2">
      <c r="A29" s="4" t="s">
        <v>78</v>
      </c>
      <c r="B29" s="4" t="s">
        <v>79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0</v>
      </c>
      <c r="M29" s="5">
        <v>0</v>
      </c>
      <c r="N29" s="5">
        <v>1</v>
      </c>
      <c r="O29" s="5">
        <v>0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0</v>
      </c>
      <c r="V29" s="5">
        <v>0</v>
      </c>
      <c r="W29" s="5">
        <f t="shared" si="0"/>
        <v>15</v>
      </c>
      <c r="X29" s="6">
        <f t="shared" si="1"/>
        <v>75</v>
      </c>
      <c r="Y29" s="5" t="str">
        <f t="shared" si="2"/>
        <v>C</v>
      </c>
    </row>
    <row r="30" spans="1:25" x14ac:dyDescent="0.2">
      <c r="A30" s="4" t="s">
        <v>80</v>
      </c>
      <c r="B30" s="4" t="s">
        <v>81</v>
      </c>
      <c r="C30" s="5">
        <v>1</v>
      </c>
      <c r="D30" s="5">
        <v>0</v>
      </c>
      <c r="E30" s="5">
        <v>1</v>
      </c>
      <c r="F30" s="5">
        <v>0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f t="shared" si="0"/>
        <v>7</v>
      </c>
      <c r="X30" s="6">
        <f t="shared" si="1"/>
        <v>35</v>
      </c>
      <c r="Y30" s="5" t="str">
        <f t="shared" si="2"/>
        <v>F</v>
      </c>
    </row>
    <row r="31" spans="1:25" x14ac:dyDescent="0.2">
      <c r="A31" s="4" t="s">
        <v>82</v>
      </c>
      <c r="B31" s="4" t="s">
        <v>83</v>
      </c>
      <c r="C31" s="5">
        <v>0</v>
      </c>
      <c r="D31" s="5">
        <v>1</v>
      </c>
      <c r="E31" s="5">
        <v>0</v>
      </c>
      <c r="F31" s="5">
        <v>0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0</v>
      </c>
      <c r="U31" s="5">
        <v>1</v>
      </c>
      <c r="V31" s="5">
        <v>0</v>
      </c>
      <c r="W31" s="5">
        <f t="shared" si="0"/>
        <v>12</v>
      </c>
      <c r="X31" s="6">
        <f t="shared" si="1"/>
        <v>60</v>
      </c>
      <c r="Y31" s="5" t="str">
        <f t="shared" si="2"/>
        <v>D</v>
      </c>
    </row>
    <row r="32" spans="1:25" x14ac:dyDescent="0.2">
      <c r="A32" s="4" t="s">
        <v>84</v>
      </c>
      <c r="B32" s="4" t="s">
        <v>85</v>
      </c>
      <c r="C32" s="5">
        <v>1</v>
      </c>
      <c r="D32" s="5">
        <v>0</v>
      </c>
      <c r="E32" s="5">
        <v>1</v>
      </c>
      <c r="F32" s="5">
        <v>0</v>
      </c>
      <c r="G32" s="5">
        <v>1</v>
      </c>
      <c r="H32" s="5">
        <v>1</v>
      </c>
      <c r="I32" s="5">
        <v>1</v>
      </c>
      <c r="J32" s="5">
        <v>0</v>
      </c>
      <c r="K32" s="5">
        <v>1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f t="shared" si="0"/>
        <v>9</v>
      </c>
      <c r="X32" s="6">
        <f t="shared" si="1"/>
        <v>45</v>
      </c>
      <c r="Y32" s="5" t="str">
        <f t="shared" si="2"/>
        <v>F</v>
      </c>
    </row>
    <row r="33" spans="1:22" x14ac:dyDescent="0.2">
      <c r="B33" s="7" t="s">
        <v>86</v>
      </c>
      <c r="C33" s="8">
        <f t="shared" ref="C33:V33" si="3">ROUND(AVERAGE(C3:C32),2)</f>
        <v>0.8</v>
      </c>
      <c r="D33" s="8">
        <f t="shared" si="3"/>
        <v>0.7</v>
      </c>
      <c r="E33" s="8">
        <f t="shared" si="3"/>
        <v>0.7</v>
      </c>
      <c r="F33" s="8">
        <f t="shared" si="3"/>
        <v>0.7</v>
      </c>
      <c r="G33" s="8">
        <f t="shared" si="3"/>
        <v>0.67</v>
      </c>
      <c r="H33" s="8">
        <f t="shared" si="3"/>
        <v>0.63</v>
      </c>
      <c r="I33" s="8">
        <f t="shared" si="3"/>
        <v>0.63</v>
      </c>
      <c r="J33" s="8">
        <f t="shared" si="3"/>
        <v>0.63</v>
      </c>
      <c r="K33" s="8">
        <f t="shared" si="3"/>
        <v>0.6</v>
      </c>
      <c r="L33" s="8">
        <f t="shared" si="3"/>
        <v>0.6</v>
      </c>
      <c r="M33" s="8">
        <f t="shared" si="3"/>
        <v>0.6</v>
      </c>
      <c r="N33" s="8">
        <f t="shared" si="3"/>
        <v>0.6</v>
      </c>
      <c r="O33" s="8">
        <f t="shared" si="3"/>
        <v>0.56999999999999995</v>
      </c>
      <c r="P33" s="8">
        <f t="shared" si="3"/>
        <v>0.53</v>
      </c>
      <c r="Q33" s="8">
        <f t="shared" si="3"/>
        <v>0.5</v>
      </c>
      <c r="R33" s="8">
        <f t="shared" si="3"/>
        <v>0.47</v>
      </c>
      <c r="S33" s="8">
        <f t="shared" si="3"/>
        <v>0.47</v>
      </c>
      <c r="T33" s="8">
        <f t="shared" si="3"/>
        <v>0.47</v>
      </c>
      <c r="U33" s="8">
        <f t="shared" si="3"/>
        <v>0.47</v>
      </c>
      <c r="V33" s="8">
        <f t="shared" si="3"/>
        <v>0.43</v>
      </c>
    </row>
    <row r="35" spans="1:22" ht="16" x14ac:dyDescent="0.2">
      <c r="A35" s="1" t="s">
        <v>87</v>
      </c>
      <c r="B35" s="1"/>
      <c r="C35" s="1"/>
      <c r="D35" s="1"/>
    </row>
    <row r="36" spans="1:22" x14ac:dyDescent="0.2">
      <c r="A36" s="9" t="s">
        <v>88</v>
      </c>
      <c r="B36" s="10">
        <f>AVERAGE(X3:X32)</f>
        <v>58.833333333333336</v>
      </c>
    </row>
    <row r="37" spans="1:22" x14ac:dyDescent="0.2">
      <c r="A37" s="9" t="s">
        <v>89</v>
      </c>
      <c r="B37" s="11">
        <f>COUNTIF(Y3:Y32,"&lt;&gt;F")/30</f>
        <v>0.5</v>
      </c>
    </row>
    <row r="38" spans="1:22" x14ac:dyDescent="0.2">
      <c r="A38" s="9" t="s">
        <v>90</v>
      </c>
      <c r="B38" s="12" t="str">
        <f>"A="&amp;COUNTIF(Y3:Y32,"A")&amp;", B="&amp;COUNTIF(Y3:Y32,"B")&amp;", C="&amp;COUNTIF(Y3:Y32,"C")&amp;", D="&amp;COUNTIF(Y3:Y32,"D")&amp;", F="&amp;COUNTIF(Y3:Y32,"F")</f>
        <v>A=1, B=1, C=5, D=8, F=15</v>
      </c>
    </row>
  </sheetData>
  <mergeCells count="2">
    <mergeCell ref="A1:Y1"/>
    <mergeCell ref="A35:D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Donald Easton-Brooks</cp:lastModifiedBy>
  <cp:revision>0</cp:revision>
  <dcterms:created xsi:type="dcterms:W3CDTF">2026-05-25T04:39:43Z</dcterms:created>
  <dcterms:modified xsi:type="dcterms:W3CDTF">2026-05-25T04:43:28Z</dcterms:modified>
  <dc:language>en-US</dc:language>
</cp:coreProperties>
</file>